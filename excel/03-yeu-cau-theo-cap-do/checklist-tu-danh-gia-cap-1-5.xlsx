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Cấp 1" sheetId="3" state="visible" r:id="rId3"/>
    <sheet xmlns:r="http://schemas.openxmlformats.org/officeDocument/2006/relationships" name="Cấp 2" sheetId="4" state="visible" r:id="rId4"/>
    <sheet xmlns:r="http://schemas.openxmlformats.org/officeDocument/2006/relationships" name="Cấp 3" sheetId="5" state="visible" r:id="rId5"/>
    <sheet xmlns:r="http://schemas.openxmlformats.org/officeDocument/2006/relationships" name="Cấp 4" sheetId="6" state="visible" r:id="rId6"/>
    <sheet xmlns:r="http://schemas.openxmlformats.org/officeDocument/2006/relationships" name="Cấp 5" sheetId="7" state="visible" r:id="rId7"/>
  </sheets>
  <definedNames>
    <definedName name="_xlnm._FilterDatabase" localSheetId="2" hidden="1">'Cấp 1'!$A$4:$I$113</definedName>
    <definedName name="_xlnm.Print_Titles" localSheetId="2">'Cấp 1'!$4:$4</definedName>
    <definedName name="_xlnm._FilterDatabase" localSheetId="3" hidden="1">'Cấp 2'!$A$4:$I$133</definedName>
    <definedName name="_xlnm.Print_Titles" localSheetId="3">'Cấp 2'!$4:$4</definedName>
    <definedName name="_xlnm._FilterDatabase" localSheetId="4" hidden="1">'Cấp 3'!$A$4:$I$199</definedName>
    <definedName name="_xlnm.Print_Titles" localSheetId="4">'Cấp 3'!$4:$4</definedName>
    <definedName name="_xlnm._FilterDatabase" localSheetId="5" hidden="1">'Cấp 4'!$A$4:$I$277</definedName>
    <definedName name="_xlnm.Print_Titles" localSheetId="5">'Cấp 4'!$4:$4</definedName>
    <definedName name="_xlnm._FilterDatabase" localSheetId="6" hidden="1">'Cấp 5'!$A$4:$I$292</definedName>
    <definedName name="_xlnm.Print_Titles" localSheetId="6">'Cấp 5'!$4:$4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4" borderId="1" pivotButton="0" quotePrefix="0" xfId="0"/>
    <xf numFmtId="9" fontId="3" fillId="4" borderId="1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2" customWidth="1" min="3" max="3"/>
    <col width="32" customWidth="1" min="4" max="4"/>
    <col width="30" customWidth="1" min="5" max="5"/>
    <col width="22" customWidth="1" min="6" max="6"/>
    <col width="14" customWidth="1" min="7" max="7"/>
  </cols>
  <sheetData>
    <row r="1">
      <c r="A1" s="1" t="inlineStr">
        <is>
          <t>CHECKLIST TỰ ĐÁNH GIÁ AN NINH MẠNG HTTT THEO CẤP ĐỘ (TCVN 14423:2026)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3" t="inlineStr">
        <is>
          <t>Tổ chức (chủ quản)</t>
        </is>
      </c>
      <c r="B4" s="4" t="inlineStr">
        <is>
          <t>{{TEN_TO_CHUC}}</t>
        </is>
      </c>
    </row>
    <row r="5">
      <c r="A5" s="3" t="inlineStr">
        <is>
          <t>Hệ thống thông tin</t>
        </is>
      </c>
      <c r="B5" s="4" t="inlineStr">
        <is>
          <t>{{TEN_HE_THONG}}</t>
        </is>
      </c>
    </row>
    <row r="6">
      <c r="A6" s="3" t="inlineStr">
        <is>
          <t>Cấp độ</t>
        </is>
      </c>
      <c r="B6" s="4" t="inlineStr">
        <is>
          <t>{{CAP_DO}}</t>
        </is>
      </c>
    </row>
    <row r="7">
      <c r="A7" s="3" t="inlineStr">
        <is>
          <t>Người đánh giá (bộ phận độc lập — NĐ 331 Đ31.2.c)</t>
        </is>
      </c>
      <c r="B7" s="4" t="inlineStr">
        <is>
          <t>{{DON_VI_DANH_GIA_DOC_LAP}}</t>
        </is>
      </c>
    </row>
    <row r="8">
      <c r="A8" s="3" t="inlineStr">
        <is>
          <t>Ngày đánh giá</t>
        </is>
      </c>
      <c r="B8" s="4" t="inlineStr"/>
    </row>
    <row r="10">
      <c r="A10" s="5" t="inlineStr">
        <is>
          <t>1. Chọn sheet đúng cấp độ của hệ thống (Cấp 1 … Cấp 5). Mỗi dòng là một yêu cầu TCVN, tóm lược.</t>
        </is>
      </c>
    </row>
    <row r="11">
      <c r="A11" s="5" t="inlineStr">
        <is>
          <t>2. Ô tô vàng là ô cần điền. Cột 'Kết quả' chọn từ danh sách: Đạt · Một phần · Chưa · N/A.</t>
        </is>
      </c>
    </row>
    <row r="12">
      <c r="A12" s="5" t="inlineStr">
        <is>
          <t>3. Mọi N/A phải ghi lý do ở cột 'Ghi chú'; dùng phương án tương đương thì mô tả biện pháp thay thế.</t>
        </is>
      </c>
    </row>
    <row r="13">
      <c r="A13" s="5" t="inlineStr">
        <is>
          <t>4. Dòng 'Chưa' / 'Một phần': ghi Người phụ trách và Hạn khắc phục — đây là kế hoạch khắc phục trong hồ sơ cấp độ.</t>
        </is>
      </c>
    </row>
    <row r="14">
      <c r="A14" s="5" t="inlineStr">
        <is>
          <t>5. Sheet 'Tổng hợp' tự tính theo công thức; % Đạt = Đạt / (Tổng số dòng − N/A).</t>
        </is>
      </c>
    </row>
    <row r="15">
      <c r="A15" s="5" t="inlineStr">
        <is>
          <t>6. Cột 'Ghi chú' có sẵn nhãn 'Mới/khác so với cấp N-1' để thấy phần tăng thêm khi nâng cấp.</t>
        </is>
      </c>
    </row>
    <row r="16">
      <c r="A16" s="5" t="inlineStr">
        <is>
          <t>Nguồn: docs/03-yeu-cau-theo-cap-do/checklist-cap-*.md (repo vn-cyber-compliance). Căn cứ: NĐ 331/2026/NĐ-CP Đ28.4, Đ29.1, Đ30.1.</t>
        </is>
      </c>
    </row>
    <row r="18">
      <c r="A18" s="3" t="inlineStr">
        <is>
          <t>Ví dụ một dòng đã điền:</t>
        </is>
      </c>
    </row>
    <row r="19">
      <c r="A19" s="6" t="inlineStr">
        <is>
          <t>Mục TCVN</t>
        </is>
      </c>
      <c r="B19" s="6" t="inlineStr">
        <is>
          <t>Yêu cầu (tóm lược)</t>
        </is>
      </c>
      <c r="C19" s="6" t="inlineStr">
        <is>
          <t>Kết quả</t>
        </is>
      </c>
      <c r="D19" s="6" t="inlineStr">
        <is>
          <t>Bằng chứng cần lưu</t>
        </is>
      </c>
      <c r="E19" s="6" t="inlineStr">
        <is>
          <t>Ghi chú</t>
        </is>
      </c>
      <c r="F19" s="6" t="inlineStr">
        <is>
          <t>Người phụ trách</t>
        </is>
      </c>
      <c r="G19" s="6" t="inlineStr">
        <is>
          <t>Hạn khắc phục</t>
        </is>
      </c>
    </row>
    <row r="20">
      <c r="A20" s="7" t="inlineStr">
        <is>
          <t>5.6.2.4</t>
        </is>
      </c>
      <c r="B20" s="7" t="inlineStr">
        <is>
          <t>Xác thực đa yếu tố cho tài khoản quản trị</t>
        </is>
      </c>
      <c r="C20" s="7" t="inlineStr">
        <is>
          <t>Một phần</t>
        </is>
      </c>
      <c r="D20" s="7" t="inlineStr">
        <is>
          <t>Ảnh cấu hình MFA trên cổng quản trị</t>
        </is>
      </c>
      <c r="E20" s="7" t="inlineStr">
        <is>
          <t>Chưa áp dụng cho truy cập SSH</t>
        </is>
      </c>
      <c r="F20" s="7" t="inlineStr">
        <is>
          <t>{{DON_VI_VAN_HANH}}</t>
        </is>
      </c>
      <c r="G20" s="7" t="inlineStr">
        <is>
          <t>30/11/2026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4" customWidth="1" min="3" max="3"/>
    <col width="11" customWidth="1" min="4" max="4"/>
    <col width="8" customWidth="1" min="5" max="5"/>
    <col width="10" customWidth="1" min="6" max="6"/>
    <col width="8" customWidth="1" min="7" max="7"/>
    <col width="8" customWidth="1" min="8" max="8"/>
    <col width="11" customWidth="1" min="9" max="9"/>
    <col width="9" customWidth="1" min="10" max="10"/>
  </cols>
  <sheetData>
    <row r="1">
      <c r="A1" s="1" t="inlineStr">
        <is>
          <t>TỔNG HỢP KẾT QUẢ TỰ ĐÁNH GIÁ</t>
        </is>
      </c>
    </row>
    <row r="2">
      <c r="A2" s="2" t="inlineStr">
        <is>
          <t>Tự tính từ các sheet Cấp 1–5. % Đạt = Đạt / (Tổng − N/A).</t>
        </is>
      </c>
    </row>
    <row r="4">
      <c r="A4" s="6" t="inlineStr">
        <is>
          <t>Cấp độ</t>
        </is>
      </c>
      <c r="B4" s="6" t="inlineStr">
        <is>
          <t>Nhóm</t>
        </is>
      </c>
      <c r="C4" s="6" t="inlineStr">
        <is>
          <t>Tên nhóm</t>
        </is>
      </c>
      <c r="D4" s="6" t="inlineStr">
        <is>
          <t>Số yêu cầu</t>
        </is>
      </c>
      <c r="E4" s="6" t="inlineStr">
        <is>
          <t>Đạt</t>
        </is>
      </c>
      <c r="F4" s="6" t="inlineStr">
        <is>
          <t>Một phần</t>
        </is>
      </c>
      <c r="G4" s="6" t="inlineStr">
        <is>
          <t>Chưa</t>
        </is>
      </c>
      <c r="H4" s="6" t="inlineStr">
        <is>
          <t>N/A</t>
        </is>
      </c>
      <c r="I4" s="6" t="inlineStr">
        <is>
          <t>Chưa điền</t>
        </is>
      </c>
      <c r="J4" s="6" t="inlineStr">
        <is>
          <t>% Đạt</t>
        </is>
      </c>
    </row>
    <row r="5">
      <c r="A5" s="7" t="inlineStr">
        <is>
          <t>Cấp 1</t>
        </is>
      </c>
      <c r="B5" s="7" t="inlineStr">
        <is>
          <t>3.1</t>
        </is>
      </c>
      <c r="C5" s="7" t="inlineStr">
        <is>
          <t>Quản lý rủi ro an ninh mạng</t>
        </is>
      </c>
      <c r="D5" s="7">
        <f>COUNTIFS('Cấp 1'!$A$5:$A$113,B5)</f>
        <v/>
      </c>
      <c r="E5" s="7">
        <f>COUNTIFS('Cấp 1'!$A$5:$A$113,B5,'Cấp 1'!$E$5:$E$113,"Đạt")</f>
        <v/>
      </c>
      <c r="F5" s="7">
        <f>COUNTIFS('Cấp 1'!$A$5:$A$113,B5,'Cấp 1'!$E$5:$E$113,"Một phần")</f>
        <v/>
      </c>
      <c r="G5" s="7">
        <f>COUNTIFS('Cấp 1'!$A$5:$A$113,B5,'Cấp 1'!$E$5:$E$113,"Chưa")</f>
        <v/>
      </c>
      <c r="H5" s="7">
        <f>COUNTIFS('Cấp 1'!$A$5:$A$113,B5,'Cấp 1'!$E$5:$E$113,"N/A")</f>
        <v/>
      </c>
      <c r="I5" s="7">
        <f>D5-SUM(E5:H5)</f>
        <v/>
      </c>
      <c r="J5" s="8">
        <f>IF(D5-H5=0,"",E5/(D5-H5))</f>
        <v/>
      </c>
    </row>
    <row r="6">
      <c r="A6" s="7" t="inlineStr">
        <is>
          <t>Cấp 1</t>
        </is>
      </c>
      <c r="B6" s="7" t="inlineStr">
        <is>
          <t>3.2</t>
        </is>
      </c>
      <c r="C6" s="7" t="inlineStr">
        <is>
          <t>Quản lý tài sản phần cứng</t>
        </is>
      </c>
      <c r="D6" s="7">
        <f>COUNTIFS('Cấp 1'!$A$5:$A$113,B6)</f>
        <v/>
      </c>
      <c r="E6" s="7">
        <f>COUNTIFS('Cấp 1'!$A$5:$A$113,B6,'Cấp 1'!$E$5:$E$113,"Đạt")</f>
        <v/>
      </c>
      <c r="F6" s="7">
        <f>COUNTIFS('Cấp 1'!$A$5:$A$113,B6,'Cấp 1'!$E$5:$E$113,"Một phần")</f>
        <v/>
      </c>
      <c r="G6" s="7">
        <f>COUNTIFS('Cấp 1'!$A$5:$A$113,B6,'Cấp 1'!$E$5:$E$113,"Chưa")</f>
        <v/>
      </c>
      <c r="H6" s="7">
        <f>COUNTIFS('Cấp 1'!$A$5:$A$113,B6,'Cấp 1'!$E$5:$E$113,"N/A")</f>
        <v/>
      </c>
      <c r="I6" s="7">
        <f>D6-SUM(E6:H6)</f>
        <v/>
      </c>
      <c r="J6" s="8">
        <f>IF(D6-H6=0,"",E6/(D6-H6))</f>
        <v/>
      </c>
    </row>
    <row r="7">
      <c r="A7" s="7" t="inlineStr">
        <is>
          <t>Cấp 1</t>
        </is>
      </c>
      <c r="B7" s="7" t="inlineStr">
        <is>
          <t>3.3</t>
        </is>
      </c>
      <c r="C7" s="7" t="inlineStr">
        <is>
          <t>Quản lý tài sản phần mềm</t>
        </is>
      </c>
      <c r="D7" s="7">
        <f>COUNTIFS('Cấp 1'!$A$5:$A$113,B7)</f>
        <v/>
      </c>
      <c r="E7" s="7">
        <f>COUNTIFS('Cấp 1'!$A$5:$A$113,B7,'Cấp 1'!$E$5:$E$113,"Đạt")</f>
        <v/>
      </c>
      <c r="F7" s="7">
        <f>COUNTIFS('Cấp 1'!$A$5:$A$113,B7,'Cấp 1'!$E$5:$E$113,"Một phần")</f>
        <v/>
      </c>
      <c r="G7" s="7">
        <f>COUNTIFS('Cấp 1'!$A$5:$A$113,B7,'Cấp 1'!$E$5:$E$113,"Chưa")</f>
        <v/>
      </c>
      <c r="H7" s="7">
        <f>COUNTIFS('Cấp 1'!$A$5:$A$113,B7,'Cấp 1'!$E$5:$E$113,"N/A")</f>
        <v/>
      </c>
      <c r="I7" s="7">
        <f>D7-SUM(E7:H7)</f>
        <v/>
      </c>
      <c r="J7" s="8">
        <f>IF(D7-H7=0,"",E7/(D7-H7))</f>
        <v/>
      </c>
    </row>
    <row r="8">
      <c r="A8" s="7" t="inlineStr">
        <is>
          <t>Cấp 1</t>
        </is>
      </c>
      <c r="B8" s="7" t="inlineStr">
        <is>
          <t>3.4</t>
        </is>
      </c>
      <c r="C8" s="7" t="inlineStr">
        <is>
          <t>Quản lý tài sản thông tin</t>
        </is>
      </c>
      <c r="D8" s="7">
        <f>COUNTIFS('Cấp 1'!$A$5:$A$113,B8)</f>
        <v/>
      </c>
      <c r="E8" s="7">
        <f>COUNTIFS('Cấp 1'!$A$5:$A$113,B8,'Cấp 1'!$E$5:$E$113,"Đạt")</f>
        <v/>
      </c>
      <c r="F8" s="7">
        <f>COUNTIFS('Cấp 1'!$A$5:$A$113,B8,'Cấp 1'!$E$5:$E$113,"Một phần")</f>
        <v/>
      </c>
      <c r="G8" s="7">
        <f>COUNTIFS('Cấp 1'!$A$5:$A$113,B8,'Cấp 1'!$E$5:$E$113,"Chưa")</f>
        <v/>
      </c>
      <c r="H8" s="7">
        <f>COUNTIFS('Cấp 1'!$A$5:$A$113,B8,'Cấp 1'!$E$5:$E$113,"N/A")</f>
        <v/>
      </c>
      <c r="I8" s="7">
        <f>D8-SUM(E8:H8)</f>
        <v/>
      </c>
      <c r="J8" s="8">
        <f>IF(D8-H8=0,"",E8/(D8-H8))</f>
        <v/>
      </c>
    </row>
    <row r="9">
      <c r="A9" s="7" t="inlineStr">
        <is>
          <t>Cấp 1</t>
        </is>
      </c>
      <c r="B9" s="7" t="inlineStr">
        <is>
          <t>3.5</t>
        </is>
      </c>
      <c r="C9" s="7" t="inlineStr">
        <is>
          <t>Cấu hình an toàn phần cứng, phần mềm</t>
        </is>
      </c>
      <c r="D9" s="7">
        <f>COUNTIFS('Cấp 1'!$A$5:$A$113,B9)</f>
        <v/>
      </c>
      <c r="E9" s="7">
        <f>COUNTIFS('Cấp 1'!$A$5:$A$113,B9,'Cấp 1'!$E$5:$E$113,"Đạt")</f>
        <v/>
      </c>
      <c r="F9" s="7">
        <f>COUNTIFS('Cấp 1'!$A$5:$A$113,B9,'Cấp 1'!$E$5:$E$113,"Một phần")</f>
        <v/>
      </c>
      <c r="G9" s="7">
        <f>COUNTIFS('Cấp 1'!$A$5:$A$113,B9,'Cấp 1'!$E$5:$E$113,"Chưa")</f>
        <v/>
      </c>
      <c r="H9" s="7">
        <f>COUNTIFS('Cấp 1'!$A$5:$A$113,B9,'Cấp 1'!$E$5:$E$113,"N/A")</f>
        <v/>
      </c>
      <c r="I9" s="7">
        <f>D9-SUM(E9:H9)</f>
        <v/>
      </c>
      <c r="J9" s="8">
        <f>IF(D9-H9=0,"",E9/(D9-H9))</f>
        <v/>
      </c>
    </row>
    <row r="10">
      <c r="A10" s="7" t="inlineStr">
        <is>
          <t>Cấp 1</t>
        </is>
      </c>
      <c r="B10" s="7" t="inlineStr">
        <is>
          <t>3.6</t>
        </is>
      </c>
      <c r="C10" s="7" t="inlineStr">
        <is>
          <t>Quản lý tài khoản và quyền truy cập</t>
        </is>
      </c>
      <c r="D10" s="7">
        <f>COUNTIFS('Cấp 1'!$A$5:$A$113,B10)</f>
        <v/>
      </c>
      <c r="E10" s="7">
        <f>COUNTIFS('Cấp 1'!$A$5:$A$113,B10,'Cấp 1'!$E$5:$E$113,"Đạt")</f>
        <v/>
      </c>
      <c r="F10" s="7">
        <f>COUNTIFS('Cấp 1'!$A$5:$A$113,B10,'Cấp 1'!$E$5:$E$113,"Một phần")</f>
        <v/>
      </c>
      <c r="G10" s="7">
        <f>COUNTIFS('Cấp 1'!$A$5:$A$113,B10,'Cấp 1'!$E$5:$E$113,"Chưa")</f>
        <v/>
      </c>
      <c r="H10" s="7">
        <f>COUNTIFS('Cấp 1'!$A$5:$A$113,B10,'Cấp 1'!$E$5:$E$113,"N/A")</f>
        <v/>
      </c>
      <c r="I10" s="7">
        <f>D10-SUM(E10:H10)</f>
        <v/>
      </c>
      <c r="J10" s="8">
        <f>IF(D10-H10=0,"",E10/(D10-H10))</f>
        <v/>
      </c>
    </row>
    <row r="11">
      <c r="A11" s="7" t="inlineStr">
        <is>
          <t>Cấp 1</t>
        </is>
      </c>
      <c r="B11" s="7" t="inlineStr">
        <is>
          <t>3.7</t>
        </is>
      </c>
      <c r="C11" s="7" t="inlineStr">
        <is>
          <t>Quản lý lỗ hổng bảo mật</t>
        </is>
      </c>
      <c r="D11" s="7">
        <f>COUNTIFS('Cấp 1'!$A$5:$A$113,B11)</f>
        <v/>
      </c>
      <c r="E11" s="7">
        <f>COUNTIFS('Cấp 1'!$A$5:$A$113,B11,'Cấp 1'!$E$5:$E$113,"Đạt")</f>
        <v/>
      </c>
      <c r="F11" s="7">
        <f>COUNTIFS('Cấp 1'!$A$5:$A$113,B11,'Cấp 1'!$E$5:$E$113,"Một phần")</f>
        <v/>
      </c>
      <c r="G11" s="7">
        <f>COUNTIFS('Cấp 1'!$A$5:$A$113,B11,'Cấp 1'!$E$5:$E$113,"Chưa")</f>
        <v/>
      </c>
      <c r="H11" s="7">
        <f>COUNTIFS('Cấp 1'!$A$5:$A$113,B11,'Cấp 1'!$E$5:$E$113,"N/A")</f>
        <v/>
      </c>
      <c r="I11" s="7">
        <f>D11-SUM(E11:H11)</f>
        <v/>
      </c>
      <c r="J11" s="8">
        <f>IF(D11-H11=0,"",E11/(D11-H11))</f>
        <v/>
      </c>
    </row>
    <row r="12">
      <c r="A12" s="7" t="inlineStr">
        <is>
          <t>Cấp 1</t>
        </is>
      </c>
      <c r="B12" s="7" t="inlineStr">
        <is>
          <t>3.8</t>
        </is>
      </c>
      <c r="C12" s="7" t="inlineStr">
        <is>
          <t>Quản lý nhật ký an ninh mạng</t>
        </is>
      </c>
      <c r="D12" s="7">
        <f>COUNTIFS('Cấp 1'!$A$5:$A$113,B12)</f>
        <v/>
      </c>
      <c r="E12" s="7">
        <f>COUNTIFS('Cấp 1'!$A$5:$A$113,B12,'Cấp 1'!$E$5:$E$113,"Đạt")</f>
        <v/>
      </c>
      <c r="F12" s="7">
        <f>COUNTIFS('Cấp 1'!$A$5:$A$113,B12,'Cấp 1'!$E$5:$E$113,"Một phần")</f>
        <v/>
      </c>
      <c r="G12" s="7">
        <f>COUNTIFS('Cấp 1'!$A$5:$A$113,B12,'Cấp 1'!$E$5:$E$113,"Chưa")</f>
        <v/>
      </c>
      <c r="H12" s="7">
        <f>COUNTIFS('Cấp 1'!$A$5:$A$113,B12,'Cấp 1'!$E$5:$E$113,"N/A")</f>
        <v/>
      </c>
      <c r="I12" s="7">
        <f>D12-SUM(E12:H12)</f>
        <v/>
      </c>
      <c r="J12" s="8">
        <f>IF(D12-H12=0,"",E12/(D12-H12))</f>
        <v/>
      </c>
    </row>
    <row r="13">
      <c r="A13" s="7" t="inlineStr">
        <is>
          <t>Cấp 1</t>
        </is>
      </c>
      <c r="B13" s="7" t="inlineStr">
        <is>
          <t>3.9</t>
        </is>
      </c>
      <c r="C13" s="7" t="inlineStr">
        <is>
          <t>Bảo vệ trình duyệt web, thư điện tử</t>
        </is>
      </c>
      <c r="D13" s="7">
        <f>COUNTIFS('Cấp 1'!$A$5:$A$113,B13)</f>
        <v/>
      </c>
      <c r="E13" s="7">
        <f>COUNTIFS('Cấp 1'!$A$5:$A$113,B13,'Cấp 1'!$E$5:$E$113,"Đạt")</f>
        <v/>
      </c>
      <c r="F13" s="7">
        <f>COUNTIFS('Cấp 1'!$A$5:$A$113,B13,'Cấp 1'!$E$5:$E$113,"Một phần")</f>
        <v/>
      </c>
      <c r="G13" s="7">
        <f>COUNTIFS('Cấp 1'!$A$5:$A$113,B13,'Cấp 1'!$E$5:$E$113,"Chưa")</f>
        <v/>
      </c>
      <c r="H13" s="7">
        <f>COUNTIFS('Cấp 1'!$A$5:$A$113,B13,'Cấp 1'!$E$5:$E$113,"N/A")</f>
        <v/>
      </c>
      <c r="I13" s="7">
        <f>D13-SUM(E13:H13)</f>
        <v/>
      </c>
      <c r="J13" s="8">
        <f>IF(D13-H13=0,"",E13/(D13-H13))</f>
        <v/>
      </c>
    </row>
    <row r="14">
      <c r="A14" s="7" t="inlineStr">
        <is>
          <t>Cấp 1</t>
        </is>
      </c>
      <c r="B14" s="7" t="inlineStr">
        <is>
          <t>3.10</t>
        </is>
      </c>
      <c r="C14" s="7" t="inlineStr">
        <is>
          <t>Phòng chống phần mềm độc hại</t>
        </is>
      </c>
      <c r="D14" s="7">
        <f>COUNTIFS('Cấp 1'!$A$5:$A$113,B14)</f>
        <v/>
      </c>
      <c r="E14" s="7">
        <f>COUNTIFS('Cấp 1'!$A$5:$A$113,B14,'Cấp 1'!$E$5:$E$113,"Đạt")</f>
        <v/>
      </c>
      <c r="F14" s="7">
        <f>COUNTIFS('Cấp 1'!$A$5:$A$113,B14,'Cấp 1'!$E$5:$E$113,"Một phần")</f>
        <v/>
      </c>
      <c r="G14" s="7">
        <f>COUNTIFS('Cấp 1'!$A$5:$A$113,B14,'Cấp 1'!$E$5:$E$113,"Chưa")</f>
        <v/>
      </c>
      <c r="H14" s="7">
        <f>COUNTIFS('Cấp 1'!$A$5:$A$113,B14,'Cấp 1'!$E$5:$E$113,"N/A")</f>
        <v/>
      </c>
      <c r="I14" s="7">
        <f>D14-SUM(E14:H14)</f>
        <v/>
      </c>
      <c r="J14" s="8">
        <f>IF(D14-H14=0,"",E14/(D14-H14))</f>
        <v/>
      </c>
    </row>
    <row r="15">
      <c r="A15" s="7" t="inlineStr">
        <is>
          <t>Cấp 1</t>
        </is>
      </c>
      <c r="B15" s="7" t="inlineStr">
        <is>
          <t>3.11</t>
        </is>
      </c>
      <c r="C15" s="7" t="inlineStr">
        <is>
          <t>Sao lưu và khôi phục dữ liệu</t>
        </is>
      </c>
      <c r="D15" s="7">
        <f>COUNTIFS('Cấp 1'!$A$5:$A$113,B15)</f>
        <v/>
      </c>
      <c r="E15" s="7">
        <f>COUNTIFS('Cấp 1'!$A$5:$A$113,B15,'Cấp 1'!$E$5:$E$113,"Đạt")</f>
        <v/>
      </c>
      <c r="F15" s="7">
        <f>COUNTIFS('Cấp 1'!$A$5:$A$113,B15,'Cấp 1'!$E$5:$E$113,"Một phần")</f>
        <v/>
      </c>
      <c r="G15" s="7">
        <f>COUNTIFS('Cấp 1'!$A$5:$A$113,B15,'Cấp 1'!$E$5:$E$113,"Chưa")</f>
        <v/>
      </c>
      <c r="H15" s="7">
        <f>COUNTIFS('Cấp 1'!$A$5:$A$113,B15,'Cấp 1'!$E$5:$E$113,"N/A")</f>
        <v/>
      </c>
      <c r="I15" s="7">
        <f>D15-SUM(E15:H15)</f>
        <v/>
      </c>
      <c r="J15" s="8">
        <f>IF(D15-H15=0,"",E15/(D15-H15))</f>
        <v/>
      </c>
    </row>
    <row r="16">
      <c r="A16" s="7" t="inlineStr">
        <is>
          <t>Cấp 1</t>
        </is>
      </c>
      <c r="B16" s="7" t="inlineStr">
        <is>
          <t>3.12</t>
        </is>
      </c>
      <c r="C16" s="7" t="inlineStr">
        <is>
          <t>Quản lý hạ tầng mạng</t>
        </is>
      </c>
      <c r="D16" s="7">
        <f>COUNTIFS('Cấp 1'!$A$5:$A$113,B16)</f>
        <v/>
      </c>
      <c r="E16" s="7">
        <f>COUNTIFS('Cấp 1'!$A$5:$A$113,B16,'Cấp 1'!$E$5:$E$113,"Đạt")</f>
        <v/>
      </c>
      <c r="F16" s="7">
        <f>COUNTIFS('Cấp 1'!$A$5:$A$113,B16,'Cấp 1'!$E$5:$E$113,"Một phần")</f>
        <v/>
      </c>
      <c r="G16" s="7">
        <f>COUNTIFS('Cấp 1'!$A$5:$A$113,B16,'Cấp 1'!$E$5:$E$113,"Chưa")</f>
        <v/>
      </c>
      <c r="H16" s="7">
        <f>COUNTIFS('Cấp 1'!$A$5:$A$113,B16,'Cấp 1'!$E$5:$E$113,"N/A")</f>
        <v/>
      </c>
      <c r="I16" s="7">
        <f>D16-SUM(E16:H16)</f>
        <v/>
      </c>
      <c r="J16" s="8">
        <f>IF(D16-H16=0,"",E16/(D16-H16))</f>
        <v/>
      </c>
    </row>
    <row r="17">
      <c r="A17" s="7" t="inlineStr">
        <is>
          <t>Cấp 1</t>
        </is>
      </c>
      <c r="B17" s="7" t="inlineStr">
        <is>
          <t>3.13</t>
        </is>
      </c>
      <c r="C17" s="7" t="inlineStr">
        <is>
          <t>Nhân sự vận hành, quản trị, bảo vệ an ninh mạng</t>
        </is>
      </c>
      <c r="D17" s="7">
        <f>COUNTIFS('Cấp 1'!$A$5:$A$113,B17)</f>
        <v/>
      </c>
      <c r="E17" s="7">
        <f>COUNTIFS('Cấp 1'!$A$5:$A$113,B17,'Cấp 1'!$E$5:$E$113,"Đạt")</f>
        <v/>
      </c>
      <c r="F17" s="7">
        <f>COUNTIFS('Cấp 1'!$A$5:$A$113,B17,'Cấp 1'!$E$5:$E$113,"Một phần")</f>
        <v/>
      </c>
      <c r="G17" s="7">
        <f>COUNTIFS('Cấp 1'!$A$5:$A$113,B17,'Cấp 1'!$E$5:$E$113,"Chưa")</f>
        <v/>
      </c>
      <c r="H17" s="7">
        <f>COUNTIFS('Cấp 1'!$A$5:$A$113,B17,'Cấp 1'!$E$5:$E$113,"N/A")</f>
        <v/>
      </c>
      <c r="I17" s="7">
        <f>D17-SUM(E17:H17)</f>
        <v/>
      </c>
      <c r="J17" s="8">
        <f>IF(D17-H17=0,"",E17/(D17-H17))</f>
        <v/>
      </c>
    </row>
    <row r="18">
      <c r="A18" s="7" t="inlineStr">
        <is>
          <t>Cấp 1</t>
        </is>
      </c>
      <c r="B18" s="7" t="inlineStr">
        <is>
          <t>3.14</t>
        </is>
      </c>
      <c r="C18" s="7" t="inlineStr">
        <is>
          <t>Quản lý nhà cung cấp sản phẩm, dịch vụ</t>
        </is>
      </c>
      <c r="D18" s="7">
        <f>COUNTIFS('Cấp 1'!$A$5:$A$113,B18)</f>
        <v/>
      </c>
      <c r="E18" s="7">
        <f>COUNTIFS('Cấp 1'!$A$5:$A$113,B18,'Cấp 1'!$E$5:$E$113,"Đạt")</f>
        <v/>
      </c>
      <c r="F18" s="7">
        <f>COUNTIFS('Cấp 1'!$A$5:$A$113,B18,'Cấp 1'!$E$5:$E$113,"Một phần")</f>
        <v/>
      </c>
      <c r="G18" s="7">
        <f>COUNTIFS('Cấp 1'!$A$5:$A$113,B18,'Cấp 1'!$E$5:$E$113,"Chưa")</f>
        <v/>
      </c>
      <c r="H18" s="7">
        <f>COUNTIFS('Cấp 1'!$A$5:$A$113,B18,'Cấp 1'!$E$5:$E$113,"N/A")</f>
        <v/>
      </c>
      <c r="I18" s="7">
        <f>D18-SUM(E18:H18)</f>
        <v/>
      </c>
      <c r="J18" s="8">
        <f>IF(D18-H18=0,"",E18/(D18-H18))</f>
        <v/>
      </c>
    </row>
    <row r="19">
      <c r="A19" s="7" t="inlineStr">
        <is>
          <t>Cấp 1</t>
        </is>
      </c>
      <c r="B19" s="7" t="inlineStr">
        <is>
          <t>3.15</t>
        </is>
      </c>
      <c r="C19" s="7" t="inlineStr">
        <is>
          <t>Quản trị ứng phó sự cố an ninh mạng</t>
        </is>
      </c>
      <c r="D19" s="7">
        <f>COUNTIFS('Cấp 1'!$A$5:$A$113,B19)</f>
        <v/>
      </c>
      <c r="E19" s="7">
        <f>COUNTIFS('Cấp 1'!$A$5:$A$113,B19,'Cấp 1'!$E$5:$E$113,"Đạt")</f>
        <v/>
      </c>
      <c r="F19" s="7">
        <f>COUNTIFS('Cấp 1'!$A$5:$A$113,B19,'Cấp 1'!$E$5:$E$113,"Một phần")</f>
        <v/>
      </c>
      <c r="G19" s="7">
        <f>COUNTIFS('Cấp 1'!$A$5:$A$113,B19,'Cấp 1'!$E$5:$E$113,"Chưa")</f>
        <v/>
      </c>
      <c r="H19" s="7">
        <f>COUNTIFS('Cấp 1'!$A$5:$A$113,B19,'Cấp 1'!$E$5:$E$113,"N/A")</f>
        <v/>
      </c>
      <c r="I19" s="7">
        <f>D19-SUM(E19:H19)</f>
        <v/>
      </c>
      <c r="J19" s="8">
        <f>IF(D19-H19=0,"",E19/(D19-H19))</f>
        <v/>
      </c>
    </row>
    <row r="20">
      <c r="A20" s="9" t="inlineStr">
        <is>
          <t>Cấp 1</t>
        </is>
      </c>
      <c r="B20" s="9" t="inlineStr"/>
      <c r="C20" s="9" t="inlineStr">
        <is>
          <t>Tổng</t>
        </is>
      </c>
      <c r="D20" s="9">
        <f>SUM(D5:D19)</f>
        <v/>
      </c>
      <c r="E20" s="9">
        <f>SUM(E5:E19)</f>
        <v/>
      </c>
      <c r="F20" s="9">
        <f>SUM(F5:F19)</f>
        <v/>
      </c>
      <c r="G20" s="9">
        <f>SUM(G5:G19)</f>
        <v/>
      </c>
      <c r="H20" s="9">
        <f>SUM(H5:H19)</f>
        <v/>
      </c>
      <c r="I20" s="9">
        <f>SUM(I5:I19)</f>
        <v/>
      </c>
      <c r="J20" s="10">
        <f>IF(D20-H20=0,"",E20/(D20-H20))</f>
        <v/>
      </c>
    </row>
    <row r="22">
      <c r="A22" s="6" t="inlineStr">
        <is>
          <t>Cấp độ</t>
        </is>
      </c>
      <c r="B22" s="6" t="inlineStr">
        <is>
          <t>Nhóm</t>
        </is>
      </c>
      <c r="C22" s="6" t="inlineStr">
        <is>
          <t>Tên nhóm</t>
        </is>
      </c>
      <c r="D22" s="6" t="inlineStr">
        <is>
          <t>Số yêu cầu</t>
        </is>
      </c>
      <c r="E22" s="6" t="inlineStr">
        <is>
          <t>Đạt</t>
        </is>
      </c>
      <c r="F22" s="6" t="inlineStr">
        <is>
          <t>Một phần</t>
        </is>
      </c>
      <c r="G22" s="6" t="inlineStr">
        <is>
          <t>Chưa</t>
        </is>
      </c>
      <c r="H22" s="6" t="inlineStr">
        <is>
          <t>N/A</t>
        </is>
      </c>
      <c r="I22" s="6" t="inlineStr">
        <is>
          <t>Chưa điền</t>
        </is>
      </c>
      <c r="J22" s="6" t="inlineStr">
        <is>
          <t>% Đạt</t>
        </is>
      </c>
    </row>
    <row r="23">
      <c r="A23" s="7" t="inlineStr">
        <is>
          <t>Cấp 2</t>
        </is>
      </c>
      <c r="B23" s="7" t="inlineStr">
        <is>
          <t>4.1</t>
        </is>
      </c>
      <c r="C23" s="7" t="inlineStr">
        <is>
          <t>Quản lý rủi ro an ninh mạng</t>
        </is>
      </c>
      <c r="D23" s="7">
        <f>COUNTIFS('Cấp 2'!$A$5:$A$133,B23)</f>
        <v/>
      </c>
      <c r="E23" s="7">
        <f>COUNTIFS('Cấp 2'!$A$5:$A$133,B23,'Cấp 2'!$E$5:$E$133,"Đạt")</f>
        <v/>
      </c>
      <c r="F23" s="7">
        <f>COUNTIFS('Cấp 2'!$A$5:$A$133,B23,'Cấp 2'!$E$5:$E$133,"Một phần")</f>
        <v/>
      </c>
      <c r="G23" s="7">
        <f>COUNTIFS('Cấp 2'!$A$5:$A$133,B23,'Cấp 2'!$E$5:$E$133,"Chưa")</f>
        <v/>
      </c>
      <c r="H23" s="7">
        <f>COUNTIFS('Cấp 2'!$A$5:$A$133,B23,'Cấp 2'!$E$5:$E$133,"N/A")</f>
        <v/>
      </c>
      <c r="I23" s="7">
        <f>D23-SUM(E23:H23)</f>
        <v/>
      </c>
      <c r="J23" s="8">
        <f>IF(D23-H23=0,"",E23/(D23-H23))</f>
        <v/>
      </c>
    </row>
    <row r="24">
      <c r="A24" s="7" t="inlineStr">
        <is>
          <t>Cấp 2</t>
        </is>
      </c>
      <c r="B24" s="7" t="inlineStr">
        <is>
          <t>4.2</t>
        </is>
      </c>
      <c r="C24" s="7" t="inlineStr">
        <is>
          <t>Quản lý tài sản phần cứng</t>
        </is>
      </c>
      <c r="D24" s="7">
        <f>COUNTIFS('Cấp 2'!$A$5:$A$133,B24)</f>
        <v/>
      </c>
      <c r="E24" s="7">
        <f>COUNTIFS('Cấp 2'!$A$5:$A$133,B24,'Cấp 2'!$E$5:$E$133,"Đạt")</f>
        <v/>
      </c>
      <c r="F24" s="7">
        <f>COUNTIFS('Cấp 2'!$A$5:$A$133,B24,'Cấp 2'!$E$5:$E$133,"Một phần")</f>
        <v/>
      </c>
      <c r="G24" s="7">
        <f>COUNTIFS('Cấp 2'!$A$5:$A$133,B24,'Cấp 2'!$E$5:$E$133,"Chưa")</f>
        <v/>
      </c>
      <c r="H24" s="7">
        <f>COUNTIFS('Cấp 2'!$A$5:$A$133,B24,'Cấp 2'!$E$5:$E$133,"N/A")</f>
        <v/>
      </c>
      <c r="I24" s="7">
        <f>D24-SUM(E24:H24)</f>
        <v/>
      </c>
      <c r="J24" s="8">
        <f>IF(D24-H24=0,"",E24/(D24-H24))</f>
        <v/>
      </c>
    </row>
    <row r="25">
      <c r="A25" s="7" t="inlineStr">
        <is>
          <t>Cấp 2</t>
        </is>
      </c>
      <c r="B25" s="7" t="inlineStr">
        <is>
          <t>4.3</t>
        </is>
      </c>
      <c r="C25" s="7" t="inlineStr">
        <is>
          <t>Quản lý tài sản phần mềm</t>
        </is>
      </c>
      <c r="D25" s="7">
        <f>COUNTIFS('Cấp 2'!$A$5:$A$133,B25)</f>
        <v/>
      </c>
      <c r="E25" s="7">
        <f>COUNTIFS('Cấp 2'!$A$5:$A$133,B25,'Cấp 2'!$E$5:$E$133,"Đạt")</f>
        <v/>
      </c>
      <c r="F25" s="7">
        <f>COUNTIFS('Cấp 2'!$A$5:$A$133,B25,'Cấp 2'!$E$5:$E$133,"Một phần")</f>
        <v/>
      </c>
      <c r="G25" s="7">
        <f>COUNTIFS('Cấp 2'!$A$5:$A$133,B25,'Cấp 2'!$E$5:$E$133,"Chưa")</f>
        <v/>
      </c>
      <c r="H25" s="7">
        <f>COUNTIFS('Cấp 2'!$A$5:$A$133,B25,'Cấp 2'!$E$5:$E$133,"N/A")</f>
        <v/>
      </c>
      <c r="I25" s="7">
        <f>D25-SUM(E25:H25)</f>
        <v/>
      </c>
      <c r="J25" s="8">
        <f>IF(D25-H25=0,"",E25/(D25-H25))</f>
        <v/>
      </c>
    </row>
    <row r="26">
      <c r="A26" s="7" t="inlineStr">
        <is>
          <t>Cấp 2</t>
        </is>
      </c>
      <c r="B26" s="7" t="inlineStr">
        <is>
          <t>4.4</t>
        </is>
      </c>
      <c r="C26" s="7" t="inlineStr">
        <is>
          <t>Quản lý tài sản thông tin</t>
        </is>
      </c>
      <c r="D26" s="7">
        <f>COUNTIFS('Cấp 2'!$A$5:$A$133,B26)</f>
        <v/>
      </c>
      <c r="E26" s="7">
        <f>COUNTIFS('Cấp 2'!$A$5:$A$133,B26,'Cấp 2'!$E$5:$E$133,"Đạt")</f>
        <v/>
      </c>
      <c r="F26" s="7">
        <f>COUNTIFS('Cấp 2'!$A$5:$A$133,B26,'Cấp 2'!$E$5:$E$133,"Một phần")</f>
        <v/>
      </c>
      <c r="G26" s="7">
        <f>COUNTIFS('Cấp 2'!$A$5:$A$133,B26,'Cấp 2'!$E$5:$E$133,"Chưa")</f>
        <v/>
      </c>
      <c r="H26" s="7">
        <f>COUNTIFS('Cấp 2'!$A$5:$A$133,B26,'Cấp 2'!$E$5:$E$133,"N/A")</f>
        <v/>
      </c>
      <c r="I26" s="7">
        <f>D26-SUM(E26:H26)</f>
        <v/>
      </c>
      <c r="J26" s="8">
        <f>IF(D26-H26=0,"",E26/(D26-H26))</f>
        <v/>
      </c>
    </row>
    <row r="27">
      <c r="A27" s="7" t="inlineStr">
        <is>
          <t>Cấp 2</t>
        </is>
      </c>
      <c r="B27" s="7" t="inlineStr">
        <is>
          <t>4.5</t>
        </is>
      </c>
      <c r="C27" s="7" t="inlineStr">
        <is>
          <t>Cấu hình an toàn phần cứng, phần mềm</t>
        </is>
      </c>
      <c r="D27" s="7">
        <f>COUNTIFS('Cấp 2'!$A$5:$A$133,B27)</f>
        <v/>
      </c>
      <c r="E27" s="7">
        <f>COUNTIFS('Cấp 2'!$A$5:$A$133,B27,'Cấp 2'!$E$5:$E$133,"Đạt")</f>
        <v/>
      </c>
      <c r="F27" s="7">
        <f>COUNTIFS('Cấp 2'!$A$5:$A$133,B27,'Cấp 2'!$E$5:$E$133,"Một phần")</f>
        <v/>
      </c>
      <c r="G27" s="7">
        <f>COUNTIFS('Cấp 2'!$A$5:$A$133,B27,'Cấp 2'!$E$5:$E$133,"Chưa")</f>
        <v/>
      </c>
      <c r="H27" s="7">
        <f>COUNTIFS('Cấp 2'!$A$5:$A$133,B27,'Cấp 2'!$E$5:$E$133,"N/A")</f>
        <v/>
      </c>
      <c r="I27" s="7">
        <f>D27-SUM(E27:H27)</f>
        <v/>
      </c>
      <c r="J27" s="8">
        <f>IF(D27-H27=0,"",E27/(D27-H27))</f>
        <v/>
      </c>
    </row>
    <row r="28">
      <c r="A28" s="7" t="inlineStr">
        <is>
          <t>Cấp 2</t>
        </is>
      </c>
      <c r="B28" s="7" t="inlineStr">
        <is>
          <t>4.6</t>
        </is>
      </c>
      <c r="C28" s="7" t="inlineStr">
        <is>
          <t>Quản lý tài khoản và quyền truy cập</t>
        </is>
      </c>
      <c r="D28" s="7">
        <f>COUNTIFS('Cấp 2'!$A$5:$A$133,B28)</f>
        <v/>
      </c>
      <c r="E28" s="7">
        <f>COUNTIFS('Cấp 2'!$A$5:$A$133,B28,'Cấp 2'!$E$5:$E$133,"Đạt")</f>
        <v/>
      </c>
      <c r="F28" s="7">
        <f>COUNTIFS('Cấp 2'!$A$5:$A$133,B28,'Cấp 2'!$E$5:$E$133,"Một phần")</f>
        <v/>
      </c>
      <c r="G28" s="7">
        <f>COUNTIFS('Cấp 2'!$A$5:$A$133,B28,'Cấp 2'!$E$5:$E$133,"Chưa")</f>
        <v/>
      </c>
      <c r="H28" s="7">
        <f>COUNTIFS('Cấp 2'!$A$5:$A$133,B28,'Cấp 2'!$E$5:$E$133,"N/A")</f>
        <v/>
      </c>
      <c r="I28" s="7">
        <f>D28-SUM(E28:H28)</f>
        <v/>
      </c>
      <c r="J28" s="8">
        <f>IF(D28-H28=0,"",E28/(D28-H28))</f>
        <v/>
      </c>
    </row>
    <row r="29">
      <c r="A29" s="7" t="inlineStr">
        <is>
          <t>Cấp 2</t>
        </is>
      </c>
      <c r="B29" s="7" t="inlineStr">
        <is>
          <t>4.7</t>
        </is>
      </c>
      <c r="C29" s="7" t="inlineStr">
        <is>
          <t>Quản lý lỗ hổng bảo mật</t>
        </is>
      </c>
      <c r="D29" s="7">
        <f>COUNTIFS('Cấp 2'!$A$5:$A$133,B29)</f>
        <v/>
      </c>
      <c r="E29" s="7">
        <f>COUNTIFS('Cấp 2'!$A$5:$A$133,B29,'Cấp 2'!$E$5:$E$133,"Đạt")</f>
        <v/>
      </c>
      <c r="F29" s="7">
        <f>COUNTIFS('Cấp 2'!$A$5:$A$133,B29,'Cấp 2'!$E$5:$E$133,"Một phần")</f>
        <v/>
      </c>
      <c r="G29" s="7">
        <f>COUNTIFS('Cấp 2'!$A$5:$A$133,B29,'Cấp 2'!$E$5:$E$133,"Chưa")</f>
        <v/>
      </c>
      <c r="H29" s="7">
        <f>COUNTIFS('Cấp 2'!$A$5:$A$133,B29,'Cấp 2'!$E$5:$E$133,"N/A")</f>
        <v/>
      </c>
      <c r="I29" s="7">
        <f>D29-SUM(E29:H29)</f>
        <v/>
      </c>
      <c r="J29" s="8">
        <f>IF(D29-H29=0,"",E29/(D29-H29))</f>
        <v/>
      </c>
    </row>
    <row r="30">
      <c r="A30" s="7" t="inlineStr">
        <is>
          <t>Cấp 2</t>
        </is>
      </c>
      <c r="B30" s="7" t="inlineStr">
        <is>
          <t>4.8</t>
        </is>
      </c>
      <c r="C30" s="7" t="inlineStr">
        <is>
          <t>Quản lý nhật ký an ninh mạng</t>
        </is>
      </c>
      <c r="D30" s="7">
        <f>COUNTIFS('Cấp 2'!$A$5:$A$133,B30)</f>
        <v/>
      </c>
      <c r="E30" s="7">
        <f>COUNTIFS('Cấp 2'!$A$5:$A$133,B30,'Cấp 2'!$E$5:$E$133,"Đạt")</f>
        <v/>
      </c>
      <c r="F30" s="7">
        <f>COUNTIFS('Cấp 2'!$A$5:$A$133,B30,'Cấp 2'!$E$5:$E$133,"Một phần")</f>
        <v/>
      </c>
      <c r="G30" s="7">
        <f>COUNTIFS('Cấp 2'!$A$5:$A$133,B30,'Cấp 2'!$E$5:$E$133,"Chưa")</f>
        <v/>
      </c>
      <c r="H30" s="7">
        <f>COUNTIFS('Cấp 2'!$A$5:$A$133,B30,'Cấp 2'!$E$5:$E$133,"N/A")</f>
        <v/>
      </c>
      <c r="I30" s="7">
        <f>D30-SUM(E30:H30)</f>
        <v/>
      </c>
      <c r="J30" s="8">
        <f>IF(D30-H30=0,"",E30/(D30-H30))</f>
        <v/>
      </c>
    </row>
    <row r="31">
      <c r="A31" s="7" t="inlineStr">
        <is>
          <t>Cấp 2</t>
        </is>
      </c>
      <c r="B31" s="7" t="inlineStr">
        <is>
          <t>4.9</t>
        </is>
      </c>
      <c r="C31" s="7" t="inlineStr">
        <is>
          <t>Bảo vệ trình duyệt web, thư điện tử</t>
        </is>
      </c>
      <c r="D31" s="7">
        <f>COUNTIFS('Cấp 2'!$A$5:$A$133,B31)</f>
        <v/>
      </c>
      <c r="E31" s="7">
        <f>COUNTIFS('Cấp 2'!$A$5:$A$133,B31,'Cấp 2'!$E$5:$E$133,"Đạt")</f>
        <v/>
      </c>
      <c r="F31" s="7">
        <f>COUNTIFS('Cấp 2'!$A$5:$A$133,B31,'Cấp 2'!$E$5:$E$133,"Một phần")</f>
        <v/>
      </c>
      <c r="G31" s="7">
        <f>COUNTIFS('Cấp 2'!$A$5:$A$133,B31,'Cấp 2'!$E$5:$E$133,"Chưa")</f>
        <v/>
      </c>
      <c r="H31" s="7">
        <f>COUNTIFS('Cấp 2'!$A$5:$A$133,B31,'Cấp 2'!$E$5:$E$133,"N/A")</f>
        <v/>
      </c>
      <c r="I31" s="7">
        <f>D31-SUM(E31:H31)</f>
        <v/>
      </c>
      <c r="J31" s="8">
        <f>IF(D31-H31=0,"",E31/(D31-H31))</f>
        <v/>
      </c>
    </row>
    <row r="32">
      <c r="A32" s="7" t="inlineStr">
        <is>
          <t>Cấp 2</t>
        </is>
      </c>
      <c r="B32" s="7" t="inlineStr">
        <is>
          <t>4.10</t>
        </is>
      </c>
      <c r="C32" s="7" t="inlineStr">
        <is>
          <t>Phòng chống phần mềm độc hại</t>
        </is>
      </c>
      <c r="D32" s="7">
        <f>COUNTIFS('Cấp 2'!$A$5:$A$133,B32)</f>
        <v/>
      </c>
      <c r="E32" s="7">
        <f>COUNTIFS('Cấp 2'!$A$5:$A$133,B32,'Cấp 2'!$E$5:$E$133,"Đạt")</f>
        <v/>
      </c>
      <c r="F32" s="7">
        <f>COUNTIFS('Cấp 2'!$A$5:$A$133,B32,'Cấp 2'!$E$5:$E$133,"Một phần")</f>
        <v/>
      </c>
      <c r="G32" s="7">
        <f>COUNTIFS('Cấp 2'!$A$5:$A$133,B32,'Cấp 2'!$E$5:$E$133,"Chưa")</f>
        <v/>
      </c>
      <c r="H32" s="7">
        <f>COUNTIFS('Cấp 2'!$A$5:$A$133,B32,'Cấp 2'!$E$5:$E$133,"N/A")</f>
        <v/>
      </c>
      <c r="I32" s="7">
        <f>D32-SUM(E32:H32)</f>
        <v/>
      </c>
      <c r="J32" s="8">
        <f>IF(D32-H32=0,"",E32/(D32-H32))</f>
        <v/>
      </c>
    </row>
    <row r="33">
      <c r="A33" s="7" t="inlineStr">
        <is>
          <t>Cấp 2</t>
        </is>
      </c>
      <c r="B33" s="7" t="inlineStr">
        <is>
          <t>4.11</t>
        </is>
      </c>
      <c r="C33" s="7" t="inlineStr">
        <is>
          <t>Sao lưu và khôi phục dữ liệu</t>
        </is>
      </c>
      <c r="D33" s="7">
        <f>COUNTIFS('Cấp 2'!$A$5:$A$133,B33)</f>
        <v/>
      </c>
      <c r="E33" s="7">
        <f>COUNTIFS('Cấp 2'!$A$5:$A$133,B33,'Cấp 2'!$E$5:$E$133,"Đạt")</f>
        <v/>
      </c>
      <c r="F33" s="7">
        <f>COUNTIFS('Cấp 2'!$A$5:$A$133,B33,'Cấp 2'!$E$5:$E$133,"Một phần")</f>
        <v/>
      </c>
      <c r="G33" s="7">
        <f>COUNTIFS('Cấp 2'!$A$5:$A$133,B33,'Cấp 2'!$E$5:$E$133,"Chưa")</f>
        <v/>
      </c>
      <c r="H33" s="7">
        <f>COUNTIFS('Cấp 2'!$A$5:$A$133,B33,'Cấp 2'!$E$5:$E$133,"N/A")</f>
        <v/>
      </c>
      <c r="I33" s="7">
        <f>D33-SUM(E33:H33)</f>
        <v/>
      </c>
      <c r="J33" s="8">
        <f>IF(D33-H33=0,"",E33/(D33-H33))</f>
        <v/>
      </c>
    </row>
    <row r="34">
      <c r="A34" s="7" t="inlineStr">
        <is>
          <t>Cấp 2</t>
        </is>
      </c>
      <c r="B34" s="7" t="inlineStr">
        <is>
          <t>4.12</t>
        </is>
      </c>
      <c r="C34" s="7" t="inlineStr">
        <is>
          <t>Quản lý hạ tầng mạng</t>
        </is>
      </c>
      <c r="D34" s="7">
        <f>COUNTIFS('Cấp 2'!$A$5:$A$133,B34)</f>
        <v/>
      </c>
      <c r="E34" s="7">
        <f>COUNTIFS('Cấp 2'!$A$5:$A$133,B34,'Cấp 2'!$E$5:$E$133,"Đạt")</f>
        <v/>
      </c>
      <c r="F34" s="7">
        <f>COUNTIFS('Cấp 2'!$A$5:$A$133,B34,'Cấp 2'!$E$5:$E$133,"Một phần")</f>
        <v/>
      </c>
      <c r="G34" s="7">
        <f>COUNTIFS('Cấp 2'!$A$5:$A$133,B34,'Cấp 2'!$E$5:$E$133,"Chưa")</f>
        <v/>
      </c>
      <c r="H34" s="7">
        <f>COUNTIFS('Cấp 2'!$A$5:$A$133,B34,'Cấp 2'!$E$5:$E$133,"N/A")</f>
        <v/>
      </c>
      <c r="I34" s="7">
        <f>D34-SUM(E34:H34)</f>
        <v/>
      </c>
      <c r="J34" s="8">
        <f>IF(D34-H34=0,"",E34/(D34-H34))</f>
        <v/>
      </c>
    </row>
    <row r="35">
      <c r="A35" s="7" t="inlineStr">
        <is>
          <t>Cấp 2</t>
        </is>
      </c>
      <c r="B35" s="7" t="inlineStr">
        <is>
          <t>4.13</t>
        </is>
      </c>
      <c r="C35" s="7" t="inlineStr">
        <is>
          <t>Nhân sự vận hành, quản trị, bảo vệ an ninh mạng</t>
        </is>
      </c>
      <c r="D35" s="7">
        <f>COUNTIFS('Cấp 2'!$A$5:$A$133,B35)</f>
        <v/>
      </c>
      <c r="E35" s="7">
        <f>COUNTIFS('Cấp 2'!$A$5:$A$133,B35,'Cấp 2'!$E$5:$E$133,"Đạt")</f>
        <v/>
      </c>
      <c r="F35" s="7">
        <f>COUNTIFS('Cấp 2'!$A$5:$A$133,B35,'Cấp 2'!$E$5:$E$133,"Một phần")</f>
        <v/>
      </c>
      <c r="G35" s="7">
        <f>COUNTIFS('Cấp 2'!$A$5:$A$133,B35,'Cấp 2'!$E$5:$E$133,"Chưa")</f>
        <v/>
      </c>
      <c r="H35" s="7">
        <f>COUNTIFS('Cấp 2'!$A$5:$A$133,B35,'Cấp 2'!$E$5:$E$133,"N/A")</f>
        <v/>
      </c>
      <c r="I35" s="7">
        <f>D35-SUM(E35:H35)</f>
        <v/>
      </c>
      <c r="J35" s="8">
        <f>IF(D35-H35=0,"",E35/(D35-H35))</f>
        <v/>
      </c>
    </row>
    <row r="36">
      <c r="A36" s="7" t="inlineStr">
        <is>
          <t>Cấp 2</t>
        </is>
      </c>
      <c r="B36" s="7" t="inlineStr">
        <is>
          <t>4.14</t>
        </is>
      </c>
      <c r="C36" s="7" t="inlineStr">
        <is>
          <t>Quản lý nhà cung cấp sản phẩm, dịch vụ</t>
        </is>
      </c>
      <c r="D36" s="7">
        <f>COUNTIFS('Cấp 2'!$A$5:$A$133,B36)</f>
        <v/>
      </c>
      <c r="E36" s="7">
        <f>COUNTIFS('Cấp 2'!$A$5:$A$133,B36,'Cấp 2'!$E$5:$E$133,"Đạt")</f>
        <v/>
      </c>
      <c r="F36" s="7">
        <f>COUNTIFS('Cấp 2'!$A$5:$A$133,B36,'Cấp 2'!$E$5:$E$133,"Một phần")</f>
        <v/>
      </c>
      <c r="G36" s="7">
        <f>COUNTIFS('Cấp 2'!$A$5:$A$133,B36,'Cấp 2'!$E$5:$E$133,"Chưa")</f>
        <v/>
      </c>
      <c r="H36" s="7">
        <f>COUNTIFS('Cấp 2'!$A$5:$A$133,B36,'Cấp 2'!$E$5:$E$133,"N/A")</f>
        <v/>
      </c>
      <c r="I36" s="7">
        <f>D36-SUM(E36:H36)</f>
        <v/>
      </c>
      <c r="J36" s="8">
        <f>IF(D36-H36=0,"",E36/(D36-H36))</f>
        <v/>
      </c>
    </row>
    <row r="37">
      <c r="A37" s="7" t="inlineStr">
        <is>
          <t>Cấp 2</t>
        </is>
      </c>
      <c r="B37" s="7" t="inlineStr">
        <is>
          <t>4.15</t>
        </is>
      </c>
      <c r="C37" s="7" t="inlineStr">
        <is>
          <t>Quản trị ứng phó sự cố an ninh mạng</t>
        </is>
      </c>
      <c r="D37" s="7">
        <f>COUNTIFS('Cấp 2'!$A$5:$A$133,B37)</f>
        <v/>
      </c>
      <c r="E37" s="7">
        <f>COUNTIFS('Cấp 2'!$A$5:$A$133,B37,'Cấp 2'!$E$5:$E$133,"Đạt")</f>
        <v/>
      </c>
      <c r="F37" s="7">
        <f>COUNTIFS('Cấp 2'!$A$5:$A$133,B37,'Cấp 2'!$E$5:$E$133,"Một phần")</f>
        <v/>
      </c>
      <c r="G37" s="7">
        <f>COUNTIFS('Cấp 2'!$A$5:$A$133,B37,'Cấp 2'!$E$5:$E$133,"Chưa")</f>
        <v/>
      </c>
      <c r="H37" s="7">
        <f>COUNTIFS('Cấp 2'!$A$5:$A$133,B37,'Cấp 2'!$E$5:$E$133,"N/A")</f>
        <v/>
      </c>
      <c r="I37" s="7">
        <f>D37-SUM(E37:H37)</f>
        <v/>
      </c>
      <c r="J37" s="8">
        <f>IF(D37-H37=0,"",E37/(D37-H37))</f>
        <v/>
      </c>
    </row>
    <row r="38">
      <c r="A38" s="9" t="inlineStr">
        <is>
          <t>Cấp 2</t>
        </is>
      </c>
      <c r="B38" s="9" t="inlineStr"/>
      <c r="C38" s="9" t="inlineStr">
        <is>
          <t>Tổng</t>
        </is>
      </c>
      <c r="D38" s="9">
        <f>SUM(D23:D37)</f>
        <v/>
      </c>
      <c r="E38" s="9">
        <f>SUM(E23:E37)</f>
        <v/>
      </c>
      <c r="F38" s="9">
        <f>SUM(F23:F37)</f>
        <v/>
      </c>
      <c r="G38" s="9">
        <f>SUM(G23:G37)</f>
        <v/>
      </c>
      <c r="H38" s="9">
        <f>SUM(H23:H37)</f>
        <v/>
      </c>
      <c r="I38" s="9">
        <f>SUM(I23:I37)</f>
        <v/>
      </c>
      <c r="J38" s="10">
        <f>IF(D38-H38=0,"",E38/(D38-H38))</f>
        <v/>
      </c>
    </row>
    <row r="40">
      <c r="A40" s="6" t="inlineStr">
        <is>
          <t>Cấp độ</t>
        </is>
      </c>
      <c r="B40" s="6" t="inlineStr">
        <is>
          <t>Nhóm</t>
        </is>
      </c>
      <c r="C40" s="6" t="inlineStr">
        <is>
          <t>Tên nhóm</t>
        </is>
      </c>
      <c r="D40" s="6" t="inlineStr">
        <is>
          <t>Số yêu cầu</t>
        </is>
      </c>
      <c r="E40" s="6" t="inlineStr">
        <is>
          <t>Đạt</t>
        </is>
      </c>
      <c r="F40" s="6" t="inlineStr">
        <is>
          <t>Một phần</t>
        </is>
      </c>
      <c r="G40" s="6" t="inlineStr">
        <is>
          <t>Chưa</t>
        </is>
      </c>
      <c r="H40" s="6" t="inlineStr">
        <is>
          <t>N/A</t>
        </is>
      </c>
      <c r="I40" s="6" t="inlineStr">
        <is>
          <t>Chưa điền</t>
        </is>
      </c>
      <c r="J40" s="6" t="inlineStr">
        <is>
          <t>% Đạt</t>
        </is>
      </c>
    </row>
    <row r="41">
      <c r="A41" s="7" t="inlineStr">
        <is>
          <t>Cấp 3</t>
        </is>
      </c>
      <c r="B41" s="7" t="inlineStr">
        <is>
          <t>5.1</t>
        </is>
      </c>
      <c r="C41" s="7" t="inlineStr">
        <is>
          <t>Quản lý rủi ro an ninh mạng</t>
        </is>
      </c>
      <c r="D41" s="7">
        <f>COUNTIFS('Cấp 3'!$A$5:$A$199,B41)</f>
        <v/>
      </c>
      <c r="E41" s="7">
        <f>COUNTIFS('Cấp 3'!$A$5:$A$199,B41,'Cấp 3'!$E$5:$E$199,"Đạt")</f>
        <v/>
      </c>
      <c r="F41" s="7">
        <f>COUNTIFS('Cấp 3'!$A$5:$A$199,B41,'Cấp 3'!$E$5:$E$199,"Một phần")</f>
        <v/>
      </c>
      <c r="G41" s="7">
        <f>COUNTIFS('Cấp 3'!$A$5:$A$199,B41,'Cấp 3'!$E$5:$E$199,"Chưa")</f>
        <v/>
      </c>
      <c r="H41" s="7">
        <f>COUNTIFS('Cấp 3'!$A$5:$A$199,B41,'Cấp 3'!$E$5:$E$199,"N/A")</f>
        <v/>
      </c>
      <c r="I41" s="7">
        <f>D41-SUM(E41:H41)</f>
        <v/>
      </c>
      <c r="J41" s="8">
        <f>IF(D41-H41=0,"",E41/(D41-H41))</f>
        <v/>
      </c>
    </row>
    <row r="42">
      <c r="A42" s="7" t="inlineStr">
        <is>
          <t>Cấp 3</t>
        </is>
      </c>
      <c r="B42" s="7" t="inlineStr">
        <is>
          <t>5.2</t>
        </is>
      </c>
      <c r="C42" s="7" t="inlineStr">
        <is>
          <t>Quản lý tài sản phần cứng</t>
        </is>
      </c>
      <c r="D42" s="7">
        <f>COUNTIFS('Cấp 3'!$A$5:$A$199,B42)</f>
        <v/>
      </c>
      <c r="E42" s="7">
        <f>COUNTIFS('Cấp 3'!$A$5:$A$199,B42,'Cấp 3'!$E$5:$E$199,"Đạt")</f>
        <v/>
      </c>
      <c r="F42" s="7">
        <f>COUNTIFS('Cấp 3'!$A$5:$A$199,B42,'Cấp 3'!$E$5:$E$199,"Một phần")</f>
        <v/>
      </c>
      <c r="G42" s="7">
        <f>COUNTIFS('Cấp 3'!$A$5:$A$199,B42,'Cấp 3'!$E$5:$E$199,"Chưa")</f>
        <v/>
      </c>
      <c r="H42" s="7">
        <f>COUNTIFS('Cấp 3'!$A$5:$A$199,B42,'Cấp 3'!$E$5:$E$199,"N/A")</f>
        <v/>
      </c>
      <c r="I42" s="7">
        <f>D42-SUM(E42:H42)</f>
        <v/>
      </c>
      <c r="J42" s="8">
        <f>IF(D42-H42=0,"",E42/(D42-H42))</f>
        <v/>
      </c>
    </row>
    <row r="43">
      <c r="A43" s="7" t="inlineStr">
        <is>
          <t>Cấp 3</t>
        </is>
      </c>
      <c r="B43" s="7" t="inlineStr">
        <is>
          <t>5.3</t>
        </is>
      </c>
      <c r="C43" s="7" t="inlineStr">
        <is>
          <t>Quản lý tài sản phần mềm</t>
        </is>
      </c>
      <c r="D43" s="7">
        <f>COUNTIFS('Cấp 3'!$A$5:$A$199,B43)</f>
        <v/>
      </c>
      <c r="E43" s="7">
        <f>COUNTIFS('Cấp 3'!$A$5:$A$199,B43,'Cấp 3'!$E$5:$E$199,"Đạt")</f>
        <v/>
      </c>
      <c r="F43" s="7">
        <f>COUNTIFS('Cấp 3'!$A$5:$A$199,B43,'Cấp 3'!$E$5:$E$199,"Một phần")</f>
        <v/>
      </c>
      <c r="G43" s="7">
        <f>COUNTIFS('Cấp 3'!$A$5:$A$199,B43,'Cấp 3'!$E$5:$E$199,"Chưa")</f>
        <v/>
      </c>
      <c r="H43" s="7">
        <f>COUNTIFS('Cấp 3'!$A$5:$A$199,B43,'Cấp 3'!$E$5:$E$199,"N/A")</f>
        <v/>
      </c>
      <c r="I43" s="7">
        <f>D43-SUM(E43:H43)</f>
        <v/>
      </c>
      <c r="J43" s="8">
        <f>IF(D43-H43=0,"",E43/(D43-H43))</f>
        <v/>
      </c>
    </row>
    <row r="44">
      <c r="A44" s="7" t="inlineStr">
        <is>
          <t>Cấp 3</t>
        </is>
      </c>
      <c r="B44" s="7" t="inlineStr">
        <is>
          <t>5.4</t>
        </is>
      </c>
      <c r="C44" s="7" t="inlineStr">
        <is>
          <t>Quản lý tài sản thông tin</t>
        </is>
      </c>
      <c r="D44" s="7">
        <f>COUNTIFS('Cấp 3'!$A$5:$A$199,B44)</f>
        <v/>
      </c>
      <c r="E44" s="7">
        <f>COUNTIFS('Cấp 3'!$A$5:$A$199,B44,'Cấp 3'!$E$5:$E$199,"Đạt")</f>
        <v/>
      </c>
      <c r="F44" s="7">
        <f>COUNTIFS('Cấp 3'!$A$5:$A$199,B44,'Cấp 3'!$E$5:$E$199,"Một phần")</f>
        <v/>
      </c>
      <c r="G44" s="7">
        <f>COUNTIFS('Cấp 3'!$A$5:$A$199,B44,'Cấp 3'!$E$5:$E$199,"Chưa")</f>
        <v/>
      </c>
      <c r="H44" s="7">
        <f>COUNTIFS('Cấp 3'!$A$5:$A$199,B44,'Cấp 3'!$E$5:$E$199,"N/A")</f>
        <v/>
      </c>
      <c r="I44" s="7">
        <f>D44-SUM(E44:H44)</f>
        <v/>
      </c>
      <c r="J44" s="8">
        <f>IF(D44-H44=0,"",E44/(D44-H44))</f>
        <v/>
      </c>
    </row>
    <row r="45">
      <c r="A45" s="7" t="inlineStr">
        <is>
          <t>Cấp 3</t>
        </is>
      </c>
      <c r="B45" s="7" t="inlineStr">
        <is>
          <t>5.5</t>
        </is>
      </c>
      <c r="C45" s="7" t="inlineStr">
        <is>
          <t>Cấu hình an toàn phần cứng, phần mềm</t>
        </is>
      </c>
      <c r="D45" s="7">
        <f>COUNTIFS('Cấp 3'!$A$5:$A$199,B45)</f>
        <v/>
      </c>
      <c r="E45" s="7">
        <f>COUNTIFS('Cấp 3'!$A$5:$A$199,B45,'Cấp 3'!$E$5:$E$199,"Đạt")</f>
        <v/>
      </c>
      <c r="F45" s="7">
        <f>COUNTIFS('Cấp 3'!$A$5:$A$199,B45,'Cấp 3'!$E$5:$E$199,"Một phần")</f>
        <v/>
      </c>
      <c r="G45" s="7">
        <f>COUNTIFS('Cấp 3'!$A$5:$A$199,B45,'Cấp 3'!$E$5:$E$199,"Chưa")</f>
        <v/>
      </c>
      <c r="H45" s="7">
        <f>COUNTIFS('Cấp 3'!$A$5:$A$199,B45,'Cấp 3'!$E$5:$E$199,"N/A")</f>
        <v/>
      </c>
      <c r="I45" s="7">
        <f>D45-SUM(E45:H45)</f>
        <v/>
      </c>
      <c r="J45" s="8">
        <f>IF(D45-H45=0,"",E45/(D45-H45))</f>
        <v/>
      </c>
    </row>
    <row r="46">
      <c r="A46" s="7" t="inlineStr">
        <is>
          <t>Cấp 3</t>
        </is>
      </c>
      <c r="B46" s="7" t="inlineStr">
        <is>
          <t>5.6</t>
        </is>
      </c>
      <c r="C46" s="7" t="inlineStr">
        <is>
          <t>Quản lý tài khoản và quyền truy cập</t>
        </is>
      </c>
      <c r="D46" s="7">
        <f>COUNTIFS('Cấp 3'!$A$5:$A$199,B46)</f>
        <v/>
      </c>
      <c r="E46" s="7">
        <f>COUNTIFS('Cấp 3'!$A$5:$A$199,B46,'Cấp 3'!$E$5:$E$199,"Đạt")</f>
        <v/>
      </c>
      <c r="F46" s="7">
        <f>COUNTIFS('Cấp 3'!$A$5:$A$199,B46,'Cấp 3'!$E$5:$E$199,"Một phần")</f>
        <v/>
      </c>
      <c r="G46" s="7">
        <f>COUNTIFS('Cấp 3'!$A$5:$A$199,B46,'Cấp 3'!$E$5:$E$199,"Chưa")</f>
        <v/>
      </c>
      <c r="H46" s="7">
        <f>COUNTIFS('Cấp 3'!$A$5:$A$199,B46,'Cấp 3'!$E$5:$E$199,"N/A")</f>
        <v/>
      </c>
      <c r="I46" s="7">
        <f>D46-SUM(E46:H46)</f>
        <v/>
      </c>
      <c r="J46" s="8">
        <f>IF(D46-H46=0,"",E46/(D46-H46))</f>
        <v/>
      </c>
    </row>
    <row r="47">
      <c r="A47" s="7" t="inlineStr">
        <is>
          <t>Cấp 3</t>
        </is>
      </c>
      <c r="B47" s="7" t="inlineStr">
        <is>
          <t>5.7</t>
        </is>
      </c>
      <c r="C47" s="7" t="inlineStr">
        <is>
          <t>Quản lý lỗ hổng bảo mật</t>
        </is>
      </c>
      <c r="D47" s="7">
        <f>COUNTIFS('Cấp 3'!$A$5:$A$199,B47)</f>
        <v/>
      </c>
      <c r="E47" s="7">
        <f>COUNTIFS('Cấp 3'!$A$5:$A$199,B47,'Cấp 3'!$E$5:$E$199,"Đạt")</f>
        <v/>
      </c>
      <c r="F47" s="7">
        <f>COUNTIFS('Cấp 3'!$A$5:$A$199,B47,'Cấp 3'!$E$5:$E$199,"Một phần")</f>
        <v/>
      </c>
      <c r="G47" s="7">
        <f>COUNTIFS('Cấp 3'!$A$5:$A$199,B47,'Cấp 3'!$E$5:$E$199,"Chưa")</f>
        <v/>
      </c>
      <c r="H47" s="7">
        <f>COUNTIFS('Cấp 3'!$A$5:$A$199,B47,'Cấp 3'!$E$5:$E$199,"N/A")</f>
        <v/>
      </c>
      <c r="I47" s="7">
        <f>D47-SUM(E47:H47)</f>
        <v/>
      </c>
      <c r="J47" s="8">
        <f>IF(D47-H47=0,"",E47/(D47-H47))</f>
        <v/>
      </c>
    </row>
    <row r="48">
      <c r="A48" s="7" t="inlineStr">
        <is>
          <t>Cấp 3</t>
        </is>
      </c>
      <c r="B48" s="7" t="inlineStr">
        <is>
          <t>5.8</t>
        </is>
      </c>
      <c r="C48" s="7" t="inlineStr">
        <is>
          <t>Quản lý nhật ký an ninh mạng</t>
        </is>
      </c>
      <c r="D48" s="7">
        <f>COUNTIFS('Cấp 3'!$A$5:$A$199,B48)</f>
        <v/>
      </c>
      <c r="E48" s="7">
        <f>COUNTIFS('Cấp 3'!$A$5:$A$199,B48,'Cấp 3'!$E$5:$E$199,"Đạt")</f>
        <v/>
      </c>
      <c r="F48" s="7">
        <f>COUNTIFS('Cấp 3'!$A$5:$A$199,B48,'Cấp 3'!$E$5:$E$199,"Một phần")</f>
        <v/>
      </c>
      <c r="G48" s="7">
        <f>COUNTIFS('Cấp 3'!$A$5:$A$199,B48,'Cấp 3'!$E$5:$E$199,"Chưa")</f>
        <v/>
      </c>
      <c r="H48" s="7">
        <f>COUNTIFS('Cấp 3'!$A$5:$A$199,B48,'Cấp 3'!$E$5:$E$199,"N/A")</f>
        <v/>
      </c>
      <c r="I48" s="7">
        <f>D48-SUM(E48:H48)</f>
        <v/>
      </c>
      <c r="J48" s="8">
        <f>IF(D48-H48=0,"",E48/(D48-H48))</f>
        <v/>
      </c>
    </row>
    <row r="49">
      <c r="A49" s="7" t="inlineStr">
        <is>
          <t>Cấp 3</t>
        </is>
      </c>
      <c r="B49" s="7" t="inlineStr">
        <is>
          <t>5.9</t>
        </is>
      </c>
      <c r="C49" s="7" t="inlineStr">
        <is>
          <t>Bảo vệ trình duyệt web, thư điện tử</t>
        </is>
      </c>
      <c r="D49" s="7">
        <f>COUNTIFS('Cấp 3'!$A$5:$A$199,B49)</f>
        <v/>
      </c>
      <c r="E49" s="7">
        <f>COUNTIFS('Cấp 3'!$A$5:$A$199,B49,'Cấp 3'!$E$5:$E$199,"Đạt")</f>
        <v/>
      </c>
      <c r="F49" s="7">
        <f>COUNTIFS('Cấp 3'!$A$5:$A$199,B49,'Cấp 3'!$E$5:$E$199,"Một phần")</f>
        <v/>
      </c>
      <c r="G49" s="7">
        <f>COUNTIFS('Cấp 3'!$A$5:$A$199,B49,'Cấp 3'!$E$5:$E$199,"Chưa")</f>
        <v/>
      </c>
      <c r="H49" s="7">
        <f>COUNTIFS('Cấp 3'!$A$5:$A$199,B49,'Cấp 3'!$E$5:$E$199,"N/A")</f>
        <v/>
      </c>
      <c r="I49" s="7">
        <f>D49-SUM(E49:H49)</f>
        <v/>
      </c>
      <c r="J49" s="8">
        <f>IF(D49-H49=0,"",E49/(D49-H49))</f>
        <v/>
      </c>
    </row>
    <row r="50">
      <c r="A50" s="7" t="inlineStr">
        <is>
          <t>Cấp 3</t>
        </is>
      </c>
      <c r="B50" s="7" t="inlineStr">
        <is>
          <t>5.10</t>
        </is>
      </c>
      <c r="C50" s="7" t="inlineStr">
        <is>
          <t>Phòng chống phần mềm độc hại</t>
        </is>
      </c>
      <c r="D50" s="7">
        <f>COUNTIFS('Cấp 3'!$A$5:$A$199,B50)</f>
        <v/>
      </c>
      <c r="E50" s="7">
        <f>COUNTIFS('Cấp 3'!$A$5:$A$199,B50,'Cấp 3'!$E$5:$E$199,"Đạt")</f>
        <v/>
      </c>
      <c r="F50" s="7">
        <f>COUNTIFS('Cấp 3'!$A$5:$A$199,B50,'Cấp 3'!$E$5:$E$199,"Một phần")</f>
        <v/>
      </c>
      <c r="G50" s="7">
        <f>COUNTIFS('Cấp 3'!$A$5:$A$199,B50,'Cấp 3'!$E$5:$E$199,"Chưa")</f>
        <v/>
      </c>
      <c r="H50" s="7">
        <f>COUNTIFS('Cấp 3'!$A$5:$A$199,B50,'Cấp 3'!$E$5:$E$199,"N/A")</f>
        <v/>
      </c>
      <c r="I50" s="7">
        <f>D50-SUM(E50:H50)</f>
        <v/>
      </c>
      <c r="J50" s="8">
        <f>IF(D50-H50=0,"",E50/(D50-H50))</f>
        <v/>
      </c>
    </row>
    <row r="51">
      <c r="A51" s="7" t="inlineStr">
        <is>
          <t>Cấp 3</t>
        </is>
      </c>
      <c r="B51" s="7" t="inlineStr">
        <is>
          <t>5.11</t>
        </is>
      </c>
      <c r="C51" s="7" t="inlineStr">
        <is>
          <t>Sao lưu và khôi phục dữ liệu</t>
        </is>
      </c>
      <c r="D51" s="7">
        <f>COUNTIFS('Cấp 3'!$A$5:$A$199,B51)</f>
        <v/>
      </c>
      <c r="E51" s="7">
        <f>COUNTIFS('Cấp 3'!$A$5:$A$199,B51,'Cấp 3'!$E$5:$E$199,"Đạt")</f>
        <v/>
      </c>
      <c r="F51" s="7">
        <f>COUNTIFS('Cấp 3'!$A$5:$A$199,B51,'Cấp 3'!$E$5:$E$199,"Một phần")</f>
        <v/>
      </c>
      <c r="G51" s="7">
        <f>COUNTIFS('Cấp 3'!$A$5:$A$199,B51,'Cấp 3'!$E$5:$E$199,"Chưa")</f>
        <v/>
      </c>
      <c r="H51" s="7">
        <f>COUNTIFS('Cấp 3'!$A$5:$A$199,B51,'Cấp 3'!$E$5:$E$199,"N/A")</f>
        <v/>
      </c>
      <c r="I51" s="7">
        <f>D51-SUM(E51:H51)</f>
        <v/>
      </c>
      <c r="J51" s="8">
        <f>IF(D51-H51=0,"",E51/(D51-H51))</f>
        <v/>
      </c>
    </row>
    <row r="52">
      <c r="A52" s="7" t="inlineStr">
        <is>
          <t>Cấp 3</t>
        </is>
      </c>
      <c r="B52" s="7" t="inlineStr">
        <is>
          <t>5.12</t>
        </is>
      </c>
      <c r="C52" s="7" t="inlineStr">
        <is>
          <t>Quản lý hạ tầng mạng</t>
        </is>
      </c>
      <c r="D52" s="7">
        <f>COUNTIFS('Cấp 3'!$A$5:$A$199,B52)</f>
        <v/>
      </c>
      <c r="E52" s="7">
        <f>COUNTIFS('Cấp 3'!$A$5:$A$199,B52,'Cấp 3'!$E$5:$E$199,"Đạt")</f>
        <v/>
      </c>
      <c r="F52" s="7">
        <f>COUNTIFS('Cấp 3'!$A$5:$A$199,B52,'Cấp 3'!$E$5:$E$199,"Một phần")</f>
        <v/>
      </c>
      <c r="G52" s="7">
        <f>COUNTIFS('Cấp 3'!$A$5:$A$199,B52,'Cấp 3'!$E$5:$E$199,"Chưa")</f>
        <v/>
      </c>
      <c r="H52" s="7">
        <f>COUNTIFS('Cấp 3'!$A$5:$A$199,B52,'Cấp 3'!$E$5:$E$199,"N/A")</f>
        <v/>
      </c>
      <c r="I52" s="7">
        <f>D52-SUM(E52:H52)</f>
        <v/>
      </c>
      <c r="J52" s="8">
        <f>IF(D52-H52=0,"",E52/(D52-H52))</f>
        <v/>
      </c>
    </row>
    <row r="53">
      <c r="A53" s="7" t="inlineStr">
        <is>
          <t>Cấp 3</t>
        </is>
      </c>
      <c r="B53" s="7" t="inlineStr">
        <is>
          <t>5.13</t>
        </is>
      </c>
      <c r="C53" s="7" t="inlineStr">
        <is>
          <t>Giám sát và phòng thủ an ninh mạng</t>
        </is>
      </c>
      <c r="D53" s="7">
        <f>COUNTIFS('Cấp 3'!$A$5:$A$199,B53)</f>
        <v/>
      </c>
      <c r="E53" s="7">
        <f>COUNTIFS('Cấp 3'!$A$5:$A$199,B53,'Cấp 3'!$E$5:$E$199,"Đạt")</f>
        <v/>
      </c>
      <c r="F53" s="7">
        <f>COUNTIFS('Cấp 3'!$A$5:$A$199,B53,'Cấp 3'!$E$5:$E$199,"Một phần")</f>
        <v/>
      </c>
      <c r="G53" s="7">
        <f>COUNTIFS('Cấp 3'!$A$5:$A$199,B53,'Cấp 3'!$E$5:$E$199,"Chưa")</f>
        <v/>
      </c>
      <c r="H53" s="7">
        <f>COUNTIFS('Cấp 3'!$A$5:$A$199,B53,'Cấp 3'!$E$5:$E$199,"N/A")</f>
        <v/>
      </c>
      <c r="I53" s="7">
        <f>D53-SUM(E53:H53)</f>
        <v/>
      </c>
      <c r="J53" s="8">
        <f>IF(D53-H53=0,"",E53/(D53-H53))</f>
        <v/>
      </c>
    </row>
    <row r="54">
      <c r="A54" s="7" t="inlineStr">
        <is>
          <t>Cấp 3</t>
        </is>
      </c>
      <c r="B54" s="7" t="inlineStr">
        <is>
          <t>5.14</t>
        </is>
      </c>
      <c r="C54" s="7" t="inlineStr">
        <is>
          <t>Nhân sự vận hành, quản trị, bảo vệ an ninh mạng</t>
        </is>
      </c>
      <c r="D54" s="7">
        <f>COUNTIFS('Cấp 3'!$A$5:$A$199,B54)</f>
        <v/>
      </c>
      <c r="E54" s="7">
        <f>COUNTIFS('Cấp 3'!$A$5:$A$199,B54,'Cấp 3'!$E$5:$E$199,"Đạt")</f>
        <v/>
      </c>
      <c r="F54" s="7">
        <f>COUNTIFS('Cấp 3'!$A$5:$A$199,B54,'Cấp 3'!$E$5:$E$199,"Một phần")</f>
        <v/>
      </c>
      <c r="G54" s="7">
        <f>COUNTIFS('Cấp 3'!$A$5:$A$199,B54,'Cấp 3'!$E$5:$E$199,"Chưa")</f>
        <v/>
      </c>
      <c r="H54" s="7">
        <f>COUNTIFS('Cấp 3'!$A$5:$A$199,B54,'Cấp 3'!$E$5:$E$199,"N/A")</f>
        <v/>
      </c>
      <c r="I54" s="7">
        <f>D54-SUM(E54:H54)</f>
        <v/>
      </c>
      <c r="J54" s="8">
        <f>IF(D54-H54=0,"",E54/(D54-H54))</f>
        <v/>
      </c>
    </row>
    <row r="55">
      <c r="A55" s="7" t="inlineStr">
        <is>
          <t>Cấp 3</t>
        </is>
      </c>
      <c r="B55" s="7" t="inlineStr">
        <is>
          <t>5.15</t>
        </is>
      </c>
      <c r="C55" s="7" t="inlineStr">
        <is>
          <t>Quản lý nhà cung cấp sản phẩm, dịch vụ</t>
        </is>
      </c>
      <c r="D55" s="7">
        <f>COUNTIFS('Cấp 3'!$A$5:$A$199,B55)</f>
        <v/>
      </c>
      <c r="E55" s="7">
        <f>COUNTIFS('Cấp 3'!$A$5:$A$199,B55,'Cấp 3'!$E$5:$E$199,"Đạt")</f>
        <v/>
      </c>
      <c r="F55" s="7">
        <f>COUNTIFS('Cấp 3'!$A$5:$A$199,B55,'Cấp 3'!$E$5:$E$199,"Một phần")</f>
        <v/>
      </c>
      <c r="G55" s="7">
        <f>COUNTIFS('Cấp 3'!$A$5:$A$199,B55,'Cấp 3'!$E$5:$E$199,"Chưa")</f>
        <v/>
      </c>
      <c r="H55" s="7">
        <f>COUNTIFS('Cấp 3'!$A$5:$A$199,B55,'Cấp 3'!$E$5:$E$199,"N/A")</f>
        <v/>
      </c>
      <c r="I55" s="7">
        <f>D55-SUM(E55:H55)</f>
        <v/>
      </c>
      <c r="J55" s="8">
        <f>IF(D55-H55=0,"",E55/(D55-H55))</f>
        <v/>
      </c>
    </row>
    <row r="56">
      <c r="A56" s="7" t="inlineStr">
        <is>
          <t>Cấp 3</t>
        </is>
      </c>
      <c r="B56" s="7" t="inlineStr">
        <is>
          <t>5.16</t>
        </is>
      </c>
      <c r="C56" s="7" t="inlineStr">
        <is>
          <t>Quản trị ứng phó sự cố an ninh mạng</t>
        </is>
      </c>
      <c r="D56" s="7">
        <f>COUNTIFS('Cấp 3'!$A$5:$A$199,B56)</f>
        <v/>
      </c>
      <c r="E56" s="7">
        <f>COUNTIFS('Cấp 3'!$A$5:$A$199,B56,'Cấp 3'!$E$5:$E$199,"Đạt")</f>
        <v/>
      </c>
      <c r="F56" s="7">
        <f>COUNTIFS('Cấp 3'!$A$5:$A$199,B56,'Cấp 3'!$E$5:$E$199,"Một phần")</f>
        <v/>
      </c>
      <c r="G56" s="7">
        <f>COUNTIFS('Cấp 3'!$A$5:$A$199,B56,'Cấp 3'!$E$5:$E$199,"Chưa")</f>
        <v/>
      </c>
      <c r="H56" s="7">
        <f>COUNTIFS('Cấp 3'!$A$5:$A$199,B56,'Cấp 3'!$E$5:$E$199,"N/A")</f>
        <v/>
      </c>
      <c r="I56" s="7">
        <f>D56-SUM(E56:H56)</f>
        <v/>
      </c>
      <c r="J56" s="8">
        <f>IF(D56-H56=0,"",E56/(D56-H56))</f>
        <v/>
      </c>
    </row>
    <row r="57">
      <c r="A57" s="7" t="inlineStr">
        <is>
          <t>Cấp 3</t>
        </is>
      </c>
      <c r="B57" s="7" t="inlineStr">
        <is>
          <t>5.17</t>
        </is>
      </c>
      <c r="C57" s="7" t="inlineStr">
        <is>
          <t>Phát triển ứng dụng an toàn</t>
        </is>
      </c>
      <c r="D57" s="7">
        <f>COUNTIFS('Cấp 3'!$A$5:$A$199,B57)</f>
        <v/>
      </c>
      <c r="E57" s="7">
        <f>COUNTIFS('Cấp 3'!$A$5:$A$199,B57,'Cấp 3'!$E$5:$E$199,"Đạt")</f>
        <v/>
      </c>
      <c r="F57" s="7">
        <f>COUNTIFS('Cấp 3'!$A$5:$A$199,B57,'Cấp 3'!$E$5:$E$199,"Một phần")</f>
        <v/>
      </c>
      <c r="G57" s="7">
        <f>COUNTIFS('Cấp 3'!$A$5:$A$199,B57,'Cấp 3'!$E$5:$E$199,"Chưa")</f>
        <v/>
      </c>
      <c r="H57" s="7">
        <f>COUNTIFS('Cấp 3'!$A$5:$A$199,B57,'Cấp 3'!$E$5:$E$199,"N/A")</f>
        <v/>
      </c>
      <c r="I57" s="7">
        <f>D57-SUM(E57:H57)</f>
        <v/>
      </c>
      <c r="J57" s="8">
        <f>IF(D57-H57=0,"",E57/(D57-H57))</f>
        <v/>
      </c>
    </row>
    <row r="58">
      <c r="A58" s="7" t="inlineStr">
        <is>
          <t>Cấp 3</t>
        </is>
      </c>
      <c r="B58" s="7" t="inlineStr">
        <is>
          <t>5.18</t>
        </is>
      </c>
      <c r="C58" s="7" t="inlineStr">
        <is>
          <t>Quản lý kiểm tra an ninh mạng (kiểm thử xâm nhập)</t>
        </is>
      </c>
      <c r="D58" s="7">
        <f>COUNTIFS('Cấp 3'!$A$5:$A$199,B58)</f>
        <v/>
      </c>
      <c r="E58" s="7">
        <f>COUNTIFS('Cấp 3'!$A$5:$A$199,B58,'Cấp 3'!$E$5:$E$199,"Đạt")</f>
        <v/>
      </c>
      <c r="F58" s="7">
        <f>COUNTIFS('Cấp 3'!$A$5:$A$199,B58,'Cấp 3'!$E$5:$E$199,"Một phần")</f>
        <v/>
      </c>
      <c r="G58" s="7">
        <f>COUNTIFS('Cấp 3'!$A$5:$A$199,B58,'Cấp 3'!$E$5:$E$199,"Chưa")</f>
        <v/>
      </c>
      <c r="H58" s="7">
        <f>COUNTIFS('Cấp 3'!$A$5:$A$199,B58,'Cấp 3'!$E$5:$E$199,"N/A")</f>
        <v/>
      </c>
      <c r="I58" s="7">
        <f>D58-SUM(E58:H58)</f>
        <v/>
      </c>
      <c r="J58" s="8">
        <f>IF(D58-H58=0,"",E58/(D58-H58))</f>
        <v/>
      </c>
    </row>
    <row r="59">
      <c r="A59" s="9" t="inlineStr">
        <is>
          <t>Cấp 3</t>
        </is>
      </c>
      <c r="B59" s="9" t="inlineStr"/>
      <c r="C59" s="9" t="inlineStr">
        <is>
          <t>Tổng</t>
        </is>
      </c>
      <c r="D59" s="9">
        <f>SUM(D41:D58)</f>
        <v/>
      </c>
      <c r="E59" s="9">
        <f>SUM(E41:E58)</f>
        <v/>
      </c>
      <c r="F59" s="9">
        <f>SUM(F41:F58)</f>
        <v/>
      </c>
      <c r="G59" s="9">
        <f>SUM(G41:G58)</f>
        <v/>
      </c>
      <c r="H59" s="9">
        <f>SUM(H41:H58)</f>
        <v/>
      </c>
      <c r="I59" s="9">
        <f>SUM(I41:I58)</f>
        <v/>
      </c>
      <c r="J59" s="10">
        <f>IF(D59-H59=0,"",E59/(D59-H59))</f>
        <v/>
      </c>
    </row>
    <row r="61">
      <c r="A61" s="6" t="inlineStr">
        <is>
          <t>Cấp độ</t>
        </is>
      </c>
      <c r="B61" s="6" t="inlineStr">
        <is>
          <t>Nhóm</t>
        </is>
      </c>
      <c r="C61" s="6" t="inlineStr">
        <is>
          <t>Tên nhóm</t>
        </is>
      </c>
      <c r="D61" s="6" t="inlineStr">
        <is>
          <t>Số yêu cầu</t>
        </is>
      </c>
      <c r="E61" s="6" t="inlineStr">
        <is>
          <t>Đạt</t>
        </is>
      </c>
      <c r="F61" s="6" t="inlineStr">
        <is>
          <t>Một phần</t>
        </is>
      </c>
      <c r="G61" s="6" t="inlineStr">
        <is>
          <t>Chưa</t>
        </is>
      </c>
      <c r="H61" s="6" t="inlineStr">
        <is>
          <t>N/A</t>
        </is>
      </c>
      <c r="I61" s="6" t="inlineStr">
        <is>
          <t>Chưa điền</t>
        </is>
      </c>
      <c r="J61" s="6" t="inlineStr">
        <is>
          <t>% Đạt</t>
        </is>
      </c>
    </row>
    <row r="62">
      <c r="A62" s="7" t="inlineStr">
        <is>
          <t>Cấp 4</t>
        </is>
      </c>
      <c r="B62" s="7" t="inlineStr">
        <is>
          <t>6.1</t>
        </is>
      </c>
      <c r="C62" s="7" t="inlineStr">
        <is>
          <t>Quản lý rủi ro an ninh mạng</t>
        </is>
      </c>
      <c r="D62" s="7">
        <f>COUNTIFS('Cấp 4'!$A$5:$A$277,B62)</f>
        <v/>
      </c>
      <c r="E62" s="7">
        <f>COUNTIFS('Cấp 4'!$A$5:$A$277,B62,'Cấp 4'!$E$5:$E$277,"Đạt")</f>
        <v/>
      </c>
      <c r="F62" s="7">
        <f>COUNTIFS('Cấp 4'!$A$5:$A$277,B62,'Cấp 4'!$E$5:$E$277,"Một phần")</f>
        <v/>
      </c>
      <c r="G62" s="7">
        <f>COUNTIFS('Cấp 4'!$A$5:$A$277,B62,'Cấp 4'!$E$5:$E$277,"Chưa")</f>
        <v/>
      </c>
      <c r="H62" s="7">
        <f>COUNTIFS('Cấp 4'!$A$5:$A$277,B62,'Cấp 4'!$E$5:$E$277,"N/A")</f>
        <v/>
      </c>
      <c r="I62" s="7">
        <f>D62-SUM(E62:H62)</f>
        <v/>
      </c>
      <c r="J62" s="8">
        <f>IF(D62-H62=0,"",E62/(D62-H62))</f>
        <v/>
      </c>
    </row>
    <row r="63">
      <c r="A63" s="7" t="inlineStr">
        <is>
          <t>Cấp 4</t>
        </is>
      </c>
      <c r="B63" s="7" t="inlineStr">
        <is>
          <t>6.2</t>
        </is>
      </c>
      <c r="C63" s="7" t="inlineStr">
        <is>
          <t>Quản lý tài sản phần cứng</t>
        </is>
      </c>
      <c r="D63" s="7">
        <f>COUNTIFS('Cấp 4'!$A$5:$A$277,B63)</f>
        <v/>
      </c>
      <c r="E63" s="7">
        <f>COUNTIFS('Cấp 4'!$A$5:$A$277,B63,'Cấp 4'!$E$5:$E$277,"Đạt")</f>
        <v/>
      </c>
      <c r="F63" s="7">
        <f>COUNTIFS('Cấp 4'!$A$5:$A$277,B63,'Cấp 4'!$E$5:$E$277,"Một phần")</f>
        <v/>
      </c>
      <c r="G63" s="7">
        <f>COUNTIFS('Cấp 4'!$A$5:$A$277,B63,'Cấp 4'!$E$5:$E$277,"Chưa")</f>
        <v/>
      </c>
      <c r="H63" s="7">
        <f>COUNTIFS('Cấp 4'!$A$5:$A$277,B63,'Cấp 4'!$E$5:$E$277,"N/A")</f>
        <v/>
      </c>
      <c r="I63" s="7">
        <f>D63-SUM(E63:H63)</f>
        <v/>
      </c>
      <c r="J63" s="8">
        <f>IF(D63-H63=0,"",E63/(D63-H63))</f>
        <v/>
      </c>
    </row>
    <row r="64">
      <c r="A64" s="7" t="inlineStr">
        <is>
          <t>Cấp 4</t>
        </is>
      </c>
      <c r="B64" s="7" t="inlineStr">
        <is>
          <t>6.3</t>
        </is>
      </c>
      <c r="C64" s="7" t="inlineStr">
        <is>
          <t>Quản lý tài sản phần mềm</t>
        </is>
      </c>
      <c r="D64" s="7">
        <f>COUNTIFS('Cấp 4'!$A$5:$A$277,B64)</f>
        <v/>
      </c>
      <c r="E64" s="7">
        <f>COUNTIFS('Cấp 4'!$A$5:$A$277,B64,'Cấp 4'!$E$5:$E$277,"Đạt")</f>
        <v/>
      </c>
      <c r="F64" s="7">
        <f>COUNTIFS('Cấp 4'!$A$5:$A$277,B64,'Cấp 4'!$E$5:$E$277,"Một phần")</f>
        <v/>
      </c>
      <c r="G64" s="7">
        <f>COUNTIFS('Cấp 4'!$A$5:$A$277,B64,'Cấp 4'!$E$5:$E$277,"Chưa")</f>
        <v/>
      </c>
      <c r="H64" s="7">
        <f>COUNTIFS('Cấp 4'!$A$5:$A$277,B64,'Cấp 4'!$E$5:$E$277,"N/A")</f>
        <v/>
      </c>
      <c r="I64" s="7">
        <f>D64-SUM(E64:H64)</f>
        <v/>
      </c>
      <c r="J64" s="8">
        <f>IF(D64-H64=0,"",E64/(D64-H64))</f>
        <v/>
      </c>
    </row>
    <row r="65">
      <c r="A65" s="7" t="inlineStr">
        <is>
          <t>Cấp 4</t>
        </is>
      </c>
      <c r="B65" s="7" t="inlineStr">
        <is>
          <t>6.4</t>
        </is>
      </c>
      <c r="C65" s="7" t="inlineStr">
        <is>
          <t>Quản lý tài sản thông tin</t>
        </is>
      </c>
      <c r="D65" s="7">
        <f>COUNTIFS('Cấp 4'!$A$5:$A$277,B65)</f>
        <v/>
      </c>
      <c r="E65" s="7">
        <f>COUNTIFS('Cấp 4'!$A$5:$A$277,B65,'Cấp 4'!$E$5:$E$277,"Đạt")</f>
        <v/>
      </c>
      <c r="F65" s="7">
        <f>COUNTIFS('Cấp 4'!$A$5:$A$277,B65,'Cấp 4'!$E$5:$E$277,"Một phần")</f>
        <v/>
      </c>
      <c r="G65" s="7">
        <f>COUNTIFS('Cấp 4'!$A$5:$A$277,B65,'Cấp 4'!$E$5:$E$277,"Chưa")</f>
        <v/>
      </c>
      <c r="H65" s="7">
        <f>COUNTIFS('Cấp 4'!$A$5:$A$277,B65,'Cấp 4'!$E$5:$E$277,"N/A")</f>
        <v/>
      </c>
      <c r="I65" s="7">
        <f>D65-SUM(E65:H65)</f>
        <v/>
      </c>
      <c r="J65" s="8">
        <f>IF(D65-H65=0,"",E65/(D65-H65))</f>
        <v/>
      </c>
    </row>
    <row r="66">
      <c r="A66" s="7" t="inlineStr">
        <is>
          <t>Cấp 4</t>
        </is>
      </c>
      <c r="B66" s="7" t="inlineStr">
        <is>
          <t>6.5</t>
        </is>
      </c>
      <c r="C66" s="7" t="inlineStr">
        <is>
          <t>Cấu hình an toàn phần cứng, phần mềm</t>
        </is>
      </c>
      <c r="D66" s="7">
        <f>COUNTIFS('Cấp 4'!$A$5:$A$277,B66)</f>
        <v/>
      </c>
      <c r="E66" s="7">
        <f>COUNTIFS('Cấp 4'!$A$5:$A$277,B66,'Cấp 4'!$E$5:$E$277,"Đạt")</f>
        <v/>
      </c>
      <c r="F66" s="7">
        <f>COUNTIFS('Cấp 4'!$A$5:$A$277,B66,'Cấp 4'!$E$5:$E$277,"Một phần")</f>
        <v/>
      </c>
      <c r="G66" s="7">
        <f>COUNTIFS('Cấp 4'!$A$5:$A$277,B66,'Cấp 4'!$E$5:$E$277,"Chưa")</f>
        <v/>
      </c>
      <c r="H66" s="7">
        <f>COUNTIFS('Cấp 4'!$A$5:$A$277,B66,'Cấp 4'!$E$5:$E$277,"N/A")</f>
        <v/>
      </c>
      <c r="I66" s="7">
        <f>D66-SUM(E66:H66)</f>
        <v/>
      </c>
      <c r="J66" s="8">
        <f>IF(D66-H66=0,"",E66/(D66-H66))</f>
        <v/>
      </c>
    </row>
    <row r="67">
      <c r="A67" s="7" t="inlineStr">
        <is>
          <t>Cấp 4</t>
        </is>
      </c>
      <c r="B67" s="7" t="inlineStr">
        <is>
          <t>6.6</t>
        </is>
      </c>
      <c r="C67" s="7" t="inlineStr">
        <is>
          <t>Quản lý tài khoản và quyền truy cập</t>
        </is>
      </c>
      <c r="D67" s="7">
        <f>COUNTIFS('Cấp 4'!$A$5:$A$277,B67)</f>
        <v/>
      </c>
      <c r="E67" s="7">
        <f>COUNTIFS('Cấp 4'!$A$5:$A$277,B67,'Cấp 4'!$E$5:$E$277,"Đạt")</f>
        <v/>
      </c>
      <c r="F67" s="7">
        <f>COUNTIFS('Cấp 4'!$A$5:$A$277,B67,'Cấp 4'!$E$5:$E$277,"Một phần")</f>
        <v/>
      </c>
      <c r="G67" s="7">
        <f>COUNTIFS('Cấp 4'!$A$5:$A$277,B67,'Cấp 4'!$E$5:$E$277,"Chưa")</f>
        <v/>
      </c>
      <c r="H67" s="7">
        <f>COUNTIFS('Cấp 4'!$A$5:$A$277,B67,'Cấp 4'!$E$5:$E$277,"N/A")</f>
        <v/>
      </c>
      <c r="I67" s="7">
        <f>D67-SUM(E67:H67)</f>
        <v/>
      </c>
      <c r="J67" s="8">
        <f>IF(D67-H67=0,"",E67/(D67-H67))</f>
        <v/>
      </c>
    </row>
    <row r="68">
      <c r="A68" s="7" t="inlineStr">
        <is>
          <t>Cấp 4</t>
        </is>
      </c>
      <c r="B68" s="7" t="inlineStr">
        <is>
          <t>6.7</t>
        </is>
      </c>
      <c r="C68" s="7" t="inlineStr">
        <is>
          <t>Quản lý lỗ hổng bảo mật</t>
        </is>
      </c>
      <c r="D68" s="7">
        <f>COUNTIFS('Cấp 4'!$A$5:$A$277,B68)</f>
        <v/>
      </c>
      <c r="E68" s="7">
        <f>COUNTIFS('Cấp 4'!$A$5:$A$277,B68,'Cấp 4'!$E$5:$E$277,"Đạt")</f>
        <v/>
      </c>
      <c r="F68" s="7">
        <f>COUNTIFS('Cấp 4'!$A$5:$A$277,B68,'Cấp 4'!$E$5:$E$277,"Một phần")</f>
        <v/>
      </c>
      <c r="G68" s="7">
        <f>COUNTIFS('Cấp 4'!$A$5:$A$277,B68,'Cấp 4'!$E$5:$E$277,"Chưa")</f>
        <v/>
      </c>
      <c r="H68" s="7">
        <f>COUNTIFS('Cấp 4'!$A$5:$A$277,B68,'Cấp 4'!$E$5:$E$277,"N/A")</f>
        <v/>
      </c>
      <c r="I68" s="7">
        <f>D68-SUM(E68:H68)</f>
        <v/>
      </c>
      <c r="J68" s="8">
        <f>IF(D68-H68=0,"",E68/(D68-H68))</f>
        <v/>
      </c>
    </row>
    <row r="69">
      <c r="A69" s="7" t="inlineStr">
        <is>
          <t>Cấp 4</t>
        </is>
      </c>
      <c r="B69" s="7" t="inlineStr">
        <is>
          <t>6.8</t>
        </is>
      </c>
      <c r="C69" s="7" t="inlineStr">
        <is>
          <t>Quản lý nhật ký an ninh mạng</t>
        </is>
      </c>
      <c r="D69" s="7">
        <f>COUNTIFS('Cấp 4'!$A$5:$A$277,B69)</f>
        <v/>
      </c>
      <c r="E69" s="7">
        <f>COUNTIFS('Cấp 4'!$A$5:$A$277,B69,'Cấp 4'!$E$5:$E$277,"Đạt")</f>
        <v/>
      </c>
      <c r="F69" s="7">
        <f>COUNTIFS('Cấp 4'!$A$5:$A$277,B69,'Cấp 4'!$E$5:$E$277,"Một phần")</f>
        <v/>
      </c>
      <c r="G69" s="7">
        <f>COUNTIFS('Cấp 4'!$A$5:$A$277,B69,'Cấp 4'!$E$5:$E$277,"Chưa")</f>
        <v/>
      </c>
      <c r="H69" s="7">
        <f>COUNTIFS('Cấp 4'!$A$5:$A$277,B69,'Cấp 4'!$E$5:$E$277,"N/A")</f>
        <v/>
      </c>
      <c r="I69" s="7">
        <f>D69-SUM(E69:H69)</f>
        <v/>
      </c>
      <c r="J69" s="8">
        <f>IF(D69-H69=0,"",E69/(D69-H69))</f>
        <v/>
      </c>
    </row>
    <row r="70">
      <c r="A70" s="7" t="inlineStr">
        <is>
          <t>Cấp 4</t>
        </is>
      </c>
      <c r="B70" s="7" t="inlineStr">
        <is>
          <t>6.9</t>
        </is>
      </c>
      <c r="C70" s="7" t="inlineStr">
        <is>
          <t>Bảo vệ trình duyệt web, thư điện tử</t>
        </is>
      </c>
      <c r="D70" s="7">
        <f>COUNTIFS('Cấp 4'!$A$5:$A$277,B70)</f>
        <v/>
      </c>
      <c r="E70" s="7">
        <f>COUNTIFS('Cấp 4'!$A$5:$A$277,B70,'Cấp 4'!$E$5:$E$277,"Đạt")</f>
        <v/>
      </c>
      <c r="F70" s="7">
        <f>COUNTIFS('Cấp 4'!$A$5:$A$277,B70,'Cấp 4'!$E$5:$E$277,"Một phần")</f>
        <v/>
      </c>
      <c r="G70" s="7">
        <f>COUNTIFS('Cấp 4'!$A$5:$A$277,B70,'Cấp 4'!$E$5:$E$277,"Chưa")</f>
        <v/>
      </c>
      <c r="H70" s="7">
        <f>COUNTIFS('Cấp 4'!$A$5:$A$277,B70,'Cấp 4'!$E$5:$E$277,"N/A")</f>
        <v/>
      </c>
      <c r="I70" s="7">
        <f>D70-SUM(E70:H70)</f>
        <v/>
      </c>
      <c r="J70" s="8">
        <f>IF(D70-H70=0,"",E70/(D70-H70))</f>
        <v/>
      </c>
    </row>
    <row r="71">
      <c r="A71" s="7" t="inlineStr">
        <is>
          <t>Cấp 4</t>
        </is>
      </c>
      <c r="B71" s="7" t="inlineStr">
        <is>
          <t>6.10</t>
        </is>
      </c>
      <c r="C71" s="7" t="inlineStr">
        <is>
          <t>Phòng chống phần mềm độc hại</t>
        </is>
      </c>
      <c r="D71" s="7">
        <f>COUNTIFS('Cấp 4'!$A$5:$A$277,B71)</f>
        <v/>
      </c>
      <c r="E71" s="7">
        <f>COUNTIFS('Cấp 4'!$A$5:$A$277,B71,'Cấp 4'!$E$5:$E$277,"Đạt")</f>
        <v/>
      </c>
      <c r="F71" s="7">
        <f>COUNTIFS('Cấp 4'!$A$5:$A$277,B71,'Cấp 4'!$E$5:$E$277,"Một phần")</f>
        <v/>
      </c>
      <c r="G71" s="7">
        <f>COUNTIFS('Cấp 4'!$A$5:$A$277,B71,'Cấp 4'!$E$5:$E$277,"Chưa")</f>
        <v/>
      </c>
      <c r="H71" s="7">
        <f>COUNTIFS('Cấp 4'!$A$5:$A$277,B71,'Cấp 4'!$E$5:$E$277,"N/A")</f>
        <v/>
      </c>
      <c r="I71" s="7">
        <f>D71-SUM(E71:H71)</f>
        <v/>
      </c>
      <c r="J71" s="8">
        <f>IF(D71-H71=0,"",E71/(D71-H71))</f>
        <v/>
      </c>
    </row>
    <row r="72">
      <c r="A72" s="7" t="inlineStr">
        <is>
          <t>Cấp 4</t>
        </is>
      </c>
      <c r="B72" s="7" t="inlineStr">
        <is>
          <t>6.11</t>
        </is>
      </c>
      <c r="C72" s="7" t="inlineStr">
        <is>
          <t>Sao lưu và khôi phục dữ liệu</t>
        </is>
      </c>
      <c r="D72" s="7">
        <f>COUNTIFS('Cấp 4'!$A$5:$A$277,B72)</f>
        <v/>
      </c>
      <c r="E72" s="7">
        <f>COUNTIFS('Cấp 4'!$A$5:$A$277,B72,'Cấp 4'!$E$5:$E$277,"Đạt")</f>
        <v/>
      </c>
      <c r="F72" s="7">
        <f>COUNTIFS('Cấp 4'!$A$5:$A$277,B72,'Cấp 4'!$E$5:$E$277,"Một phần")</f>
        <v/>
      </c>
      <c r="G72" s="7">
        <f>COUNTIFS('Cấp 4'!$A$5:$A$277,B72,'Cấp 4'!$E$5:$E$277,"Chưa")</f>
        <v/>
      </c>
      <c r="H72" s="7">
        <f>COUNTIFS('Cấp 4'!$A$5:$A$277,B72,'Cấp 4'!$E$5:$E$277,"N/A")</f>
        <v/>
      </c>
      <c r="I72" s="7">
        <f>D72-SUM(E72:H72)</f>
        <v/>
      </c>
      <c r="J72" s="8">
        <f>IF(D72-H72=0,"",E72/(D72-H72))</f>
        <v/>
      </c>
    </row>
    <row r="73">
      <c r="A73" s="7" t="inlineStr">
        <is>
          <t>Cấp 4</t>
        </is>
      </c>
      <c r="B73" s="7" t="inlineStr">
        <is>
          <t>6.12</t>
        </is>
      </c>
      <c r="C73" s="7" t="inlineStr">
        <is>
          <t>Quản lý hạ tầng mạng</t>
        </is>
      </c>
      <c r="D73" s="7">
        <f>COUNTIFS('Cấp 4'!$A$5:$A$277,B73)</f>
        <v/>
      </c>
      <c r="E73" s="7">
        <f>COUNTIFS('Cấp 4'!$A$5:$A$277,B73,'Cấp 4'!$E$5:$E$277,"Đạt")</f>
        <v/>
      </c>
      <c r="F73" s="7">
        <f>COUNTIFS('Cấp 4'!$A$5:$A$277,B73,'Cấp 4'!$E$5:$E$277,"Một phần")</f>
        <v/>
      </c>
      <c r="G73" s="7">
        <f>COUNTIFS('Cấp 4'!$A$5:$A$277,B73,'Cấp 4'!$E$5:$E$277,"Chưa")</f>
        <v/>
      </c>
      <c r="H73" s="7">
        <f>COUNTIFS('Cấp 4'!$A$5:$A$277,B73,'Cấp 4'!$E$5:$E$277,"N/A")</f>
        <v/>
      </c>
      <c r="I73" s="7">
        <f>D73-SUM(E73:H73)</f>
        <v/>
      </c>
      <c r="J73" s="8">
        <f>IF(D73-H73=0,"",E73/(D73-H73))</f>
        <v/>
      </c>
    </row>
    <row r="74">
      <c r="A74" s="7" t="inlineStr">
        <is>
          <t>Cấp 4</t>
        </is>
      </c>
      <c r="B74" s="7" t="inlineStr">
        <is>
          <t>6.13</t>
        </is>
      </c>
      <c r="C74" s="7" t="inlineStr">
        <is>
          <t>Giám sát và phòng thủ an ninh mạng</t>
        </is>
      </c>
      <c r="D74" s="7">
        <f>COUNTIFS('Cấp 4'!$A$5:$A$277,B74)</f>
        <v/>
      </c>
      <c r="E74" s="7">
        <f>COUNTIFS('Cấp 4'!$A$5:$A$277,B74,'Cấp 4'!$E$5:$E$277,"Đạt")</f>
        <v/>
      </c>
      <c r="F74" s="7">
        <f>COUNTIFS('Cấp 4'!$A$5:$A$277,B74,'Cấp 4'!$E$5:$E$277,"Một phần")</f>
        <v/>
      </c>
      <c r="G74" s="7">
        <f>COUNTIFS('Cấp 4'!$A$5:$A$277,B74,'Cấp 4'!$E$5:$E$277,"Chưa")</f>
        <v/>
      </c>
      <c r="H74" s="7">
        <f>COUNTIFS('Cấp 4'!$A$5:$A$277,B74,'Cấp 4'!$E$5:$E$277,"N/A")</f>
        <v/>
      </c>
      <c r="I74" s="7">
        <f>D74-SUM(E74:H74)</f>
        <v/>
      </c>
      <c r="J74" s="8">
        <f>IF(D74-H74=0,"",E74/(D74-H74))</f>
        <v/>
      </c>
    </row>
    <row r="75">
      <c r="A75" s="7" t="inlineStr">
        <is>
          <t>Cấp 4</t>
        </is>
      </c>
      <c r="B75" s="7" t="inlineStr">
        <is>
          <t>6.14</t>
        </is>
      </c>
      <c r="C75" s="7" t="inlineStr">
        <is>
          <t>Nhân sự vận hành, quản trị, bảo vệ an ninh mạng</t>
        </is>
      </c>
      <c r="D75" s="7">
        <f>COUNTIFS('Cấp 4'!$A$5:$A$277,B75)</f>
        <v/>
      </c>
      <c r="E75" s="7">
        <f>COUNTIFS('Cấp 4'!$A$5:$A$277,B75,'Cấp 4'!$E$5:$E$277,"Đạt")</f>
        <v/>
      </c>
      <c r="F75" s="7">
        <f>COUNTIFS('Cấp 4'!$A$5:$A$277,B75,'Cấp 4'!$E$5:$E$277,"Một phần")</f>
        <v/>
      </c>
      <c r="G75" s="7">
        <f>COUNTIFS('Cấp 4'!$A$5:$A$277,B75,'Cấp 4'!$E$5:$E$277,"Chưa")</f>
        <v/>
      </c>
      <c r="H75" s="7">
        <f>COUNTIFS('Cấp 4'!$A$5:$A$277,B75,'Cấp 4'!$E$5:$E$277,"N/A")</f>
        <v/>
      </c>
      <c r="I75" s="7">
        <f>D75-SUM(E75:H75)</f>
        <v/>
      </c>
      <c r="J75" s="8">
        <f>IF(D75-H75=0,"",E75/(D75-H75))</f>
        <v/>
      </c>
    </row>
    <row r="76">
      <c r="A76" s="7" t="inlineStr">
        <is>
          <t>Cấp 4</t>
        </is>
      </c>
      <c r="B76" s="7" t="inlineStr">
        <is>
          <t>6.15</t>
        </is>
      </c>
      <c r="C76" s="7" t="inlineStr">
        <is>
          <t>Quản lý nhà cung cấp sản phẩm, dịch vụ</t>
        </is>
      </c>
      <c r="D76" s="7">
        <f>COUNTIFS('Cấp 4'!$A$5:$A$277,B76)</f>
        <v/>
      </c>
      <c r="E76" s="7">
        <f>COUNTIFS('Cấp 4'!$A$5:$A$277,B76,'Cấp 4'!$E$5:$E$277,"Đạt")</f>
        <v/>
      </c>
      <c r="F76" s="7">
        <f>COUNTIFS('Cấp 4'!$A$5:$A$277,B76,'Cấp 4'!$E$5:$E$277,"Một phần")</f>
        <v/>
      </c>
      <c r="G76" s="7">
        <f>COUNTIFS('Cấp 4'!$A$5:$A$277,B76,'Cấp 4'!$E$5:$E$277,"Chưa")</f>
        <v/>
      </c>
      <c r="H76" s="7">
        <f>COUNTIFS('Cấp 4'!$A$5:$A$277,B76,'Cấp 4'!$E$5:$E$277,"N/A")</f>
        <v/>
      </c>
      <c r="I76" s="7">
        <f>D76-SUM(E76:H76)</f>
        <v/>
      </c>
      <c r="J76" s="8">
        <f>IF(D76-H76=0,"",E76/(D76-H76))</f>
        <v/>
      </c>
    </row>
    <row r="77">
      <c r="A77" s="7" t="inlineStr">
        <is>
          <t>Cấp 4</t>
        </is>
      </c>
      <c r="B77" s="7" t="inlineStr">
        <is>
          <t>6.16</t>
        </is>
      </c>
      <c r="C77" s="7" t="inlineStr">
        <is>
          <t>Phát triển ứng dụng an toàn</t>
        </is>
      </c>
      <c r="D77" s="7">
        <f>COUNTIFS('Cấp 4'!$A$5:$A$277,B77)</f>
        <v/>
      </c>
      <c r="E77" s="7">
        <f>COUNTIFS('Cấp 4'!$A$5:$A$277,B77,'Cấp 4'!$E$5:$E$277,"Đạt")</f>
        <v/>
      </c>
      <c r="F77" s="7">
        <f>COUNTIFS('Cấp 4'!$A$5:$A$277,B77,'Cấp 4'!$E$5:$E$277,"Một phần")</f>
        <v/>
      </c>
      <c r="G77" s="7">
        <f>COUNTIFS('Cấp 4'!$A$5:$A$277,B77,'Cấp 4'!$E$5:$E$277,"Chưa")</f>
        <v/>
      </c>
      <c r="H77" s="7">
        <f>COUNTIFS('Cấp 4'!$A$5:$A$277,B77,'Cấp 4'!$E$5:$E$277,"N/A")</f>
        <v/>
      </c>
      <c r="I77" s="7">
        <f>D77-SUM(E77:H77)</f>
        <v/>
      </c>
      <c r="J77" s="8">
        <f>IF(D77-H77=0,"",E77/(D77-H77))</f>
        <v/>
      </c>
    </row>
    <row r="78">
      <c r="A78" s="7" t="inlineStr">
        <is>
          <t>Cấp 4</t>
        </is>
      </c>
      <c r="B78" s="7" t="inlineStr">
        <is>
          <t>6.17</t>
        </is>
      </c>
      <c r="C78" s="7" t="inlineStr">
        <is>
          <t>Quản trị ứng phó sự cố an ninh mạng</t>
        </is>
      </c>
      <c r="D78" s="7">
        <f>COUNTIFS('Cấp 4'!$A$5:$A$277,B78)</f>
        <v/>
      </c>
      <c r="E78" s="7">
        <f>COUNTIFS('Cấp 4'!$A$5:$A$277,B78,'Cấp 4'!$E$5:$E$277,"Đạt")</f>
        <v/>
      </c>
      <c r="F78" s="7">
        <f>COUNTIFS('Cấp 4'!$A$5:$A$277,B78,'Cấp 4'!$E$5:$E$277,"Một phần")</f>
        <v/>
      </c>
      <c r="G78" s="7">
        <f>COUNTIFS('Cấp 4'!$A$5:$A$277,B78,'Cấp 4'!$E$5:$E$277,"Chưa")</f>
        <v/>
      </c>
      <c r="H78" s="7">
        <f>COUNTIFS('Cấp 4'!$A$5:$A$277,B78,'Cấp 4'!$E$5:$E$277,"N/A")</f>
        <v/>
      </c>
      <c r="I78" s="7">
        <f>D78-SUM(E78:H78)</f>
        <v/>
      </c>
      <c r="J78" s="8">
        <f>IF(D78-H78=0,"",E78/(D78-H78))</f>
        <v/>
      </c>
    </row>
    <row r="79">
      <c r="A79" s="7" t="inlineStr">
        <is>
          <t>Cấp 4</t>
        </is>
      </c>
      <c r="B79" s="7" t="inlineStr">
        <is>
          <t>6.18</t>
        </is>
      </c>
      <c r="C79" s="7" t="inlineStr">
        <is>
          <t>Quản lý kiểm tra an ninh mạng (kiểm thử xâm nhập)</t>
        </is>
      </c>
      <c r="D79" s="7">
        <f>COUNTIFS('Cấp 4'!$A$5:$A$277,B79)</f>
        <v/>
      </c>
      <c r="E79" s="7">
        <f>COUNTIFS('Cấp 4'!$A$5:$A$277,B79,'Cấp 4'!$E$5:$E$277,"Đạt")</f>
        <v/>
      </c>
      <c r="F79" s="7">
        <f>COUNTIFS('Cấp 4'!$A$5:$A$277,B79,'Cấp 4'!$E$5:$E$277,"Một phần")</f>
        <v/>
      </c>
      <c r="G79" s="7">
        <f>COUNTIFS('Cấp 4'!$A$5:$A$277,B79,'Cấp 4'!$E$5:$E$277,"Chưa")</f>
        <v/>
      </c>
      <c r="H79" s="7">
        <f>COUNTIFS('Cấp 4'!$A$5:$A$277,B79,'Cấp 4'!$E$5:$E$277,"N/A")</f>
        <v/>
      </c>
      <c r="I79" s="7">
        <f>D79-SUM(E79:H79)</f>
        <v/>
      </c>
      <c r="J79" s="8">
        <f>IF(D79-H79=0,"",E79/(D79-H79))</f>
        <v/>
      </c>
    </row>
    <row r="80">
      <c r="A80" s="9" t="inlineStr">
        <is>
          <t>Cấp 4</t>
        </is>
      </c>
      <c r="B80" s="9" t="inlineStr"/>
      <c r="C80" s="9" t="inlineStr">
        <is>
          <t>Tổng</t>
        </is>
      </c>
      <c r="D80" s="9">
        <f>SUM(D62:D79)</f>
        <v/>
      </c>
      <c r="E80" s="9">
        <f>SUM(E62:E79)</f>
        <v/>
      </c>
      <c r="F80" s="9">
        <f>SUM(F62:F79)</f>
        <v/>
      </c>
      <c r="G80" s="9">
        <f>SUM(G62:G79)</f>
        <v/>
      </c>
      <c r="H80" s="9">
        <f>SUM(H62:H79)</f>
        <v/>
      </c>
      <c r="I80" s="9">
        <f>SUM(I62:I79)</f>
        <v/>
      </c>
      <c r="J80" s="10">
        <f>IF(D80-H80=0,"",E80/(D80-H80))</f>
        <v/>
      </c>
    </row>
    <row r="82">
      <c r="A82" s="6" t="inlineStr">
        <is>
          <t>Cấp độ</t>
        </is>
      </c>
      <c r="B82" s="6" t="inlineStr">
        <is>
          <t>Nhóm</t>
        </is>
      </c>
      <c r="C82" s="6" t="inlineStr">
        <is>
          <t>Tên nhóm</t>
        </is>
      </c>
      <c r="D82" s="6" t="inlineStr">
        <is>
          <t>Số yêu cầu</t>
        </is>
      </c>
      <c r="E82" s="6" t="inlineStr">
        <is>
          <t>Đạt</t>
        </is>
      </c>
      <c r="F82" s="6" t="inlineStr">
        <is>
          <t>Một phần</t>
        </is>
      </c>
      <c r="G82" s="6" t="inlineStr">
        <is>
          <t>Chưa</t>
        </is>
      </c>
      <c r="H82" s="6" t="inlineStr">
        <is>
          <t>N/A</t>
        </is>
      </c>
      <c r="I82" s="6" t="inlineStr">
        <is>
          <t>Chưa điền</t>
        </is>
      </c>
      <c r="J82" s="6" t="inlineStr">
        <is>
          <t>% Đạt</t>
        </is>
      </c>
    </row>
    <row r="83">
      <c r="A83" s="7" t="inlineStr">
        <is>
          <t>Cấp 5</t>
        </is>
      </c>
      <c r="B83" s="7" t="inlineStr">
        <is>
          <t>7.1</t>
        </is>
      </c>
      <c r="C83" s="7" t="inlineStr">
        <is>
          <t>Quản lý rủi ro an ninh mạng</t>
        </is>
      </c>
      <c r="D83" s="7">
        <f>COUNTIFS('Cấp 5'!$A$5:$A$292,B83)</f>
        <v/>
      </c>
      <c r="E83" s="7">
        <f>COUNTIFS('Cấp 5'!$A$5:$A$292,B83,'Cấp 5'!$E$5:$E$292,"Đạt")</f>
        <v/>
      </c>
      <c r="F83" s="7">
        <f>COUNTIFS('Cấp 5'!$A$5:$A$292,B83,'Cấp 5'!$E$5:$E$292,"Một phần")</f>
        <v/>
      </c>
      <c r="G83" s="7">
        <f>COUNTIFS('Cấp 5'!$A$5:$A$292,B83,'Cấp 5'!$E$5:$E$292,"Chưa")</f>
        <v/>
      </c>
      <c r="H83" s="7">
        <f>COUNTIFS('Cấp 5'!$A$5:$A$292,B83,'Cấp 5'!$E$5:$E$292,"N/A")</f>
        <v/>
      </c>
      <c r="I83" s="7">
        <f>D83-SUM(E83:H83)</f>
        <v/>
      </c>
      <c r="J83" s="8">
        <f>IF(D83-H83=0,"",E83/(D83-H83))</f>
        <v/>
      </c>
    </row>
    <row r="84">
      <c r="A84" s="7" t="inlineStr">
        <is>
          <t>Cấp 5</t>
        </is>
      </c>
      <c r="B84" s="7" t="inlineStr">
        <is>
          <t>7.2</t>
        </is>
      </c>
      <c r="C84" s="7" t="inlineStr">
        <is>
          <t>Quản lý tài sản phần cứng</t>
        </is>
      </c>
      <c r="D84" s="7">
        <f>COUNTIFS('Cấp 5'!$A$5:$A$292,B84)</f>
        <v/>
      </c>
      <c r="E84" s="7">
        <f>COUNTIFS('Cấp 5'!$A$5:$A$292,B84,'Cấp 5'!$E$5:$E$292,"Đạt")</f>
        <v/>
      </c>
      <c r="F84" s="7">
        <f>COUNTIFS('Cấp 5'!$A$5:$A$292,B84,'Cấp 5'!$E$5:$E$292,"Một phần")</f>
        <v/>
      </c>
      <c r="G84" s="7">
        <f>COUNTIFS('Cấp 5'!$A$5:$A$292,B84,'Cấp 5'!$E$5:$E$292,"Chưa")</f>
        <v/>
      </c>
      <c r="H84" s="7">
        <f>COUNTIFS('Cấp 5'!$A$5:$A$292,B84,'Cấp 5'!$E$5:$E$292,"N/A")</f>
        <v/>
      </c>
      <c r="I84" s="7">
        <f>D84-SUM(E84:H84)</f>
        <v/>
      </c>
      <c r="J84" s="8">
        <f>IF(D84-H84=0,"",E84/(D84-H84))</f>
        <v/>
      </c>
    </row>
    <row r="85">
      <c r="A85" s="7" t="inlineStr">
        <is>
          <t>Cấp 5</t>
        </is>
      </c>
      <c r="B85" s="7" t="inlineStr">
        <is>
          <t>7.3</t>
        </is>
      </c>
      <c r="C85" s="7" t="inlineStr">
        <is>
          <t>Quản lý tài sản phần mềm</t>
        </is>
      </c>
      <c r="D85" s="7">
        <f>COUNTIFS('Cấp 5'!$A$5:$A$292,B85)</f>
        <v/>
      </c>
      <c r="E85" s="7">
        <f>COUNTIFS('Cấp 5'!$A$5:$A$292,B85,'Cấp 5'!$E$5:$E$292,"Đạt")</f>
        <v/>
      </c>
      <c r="F85" s="7">
        <f>COUNTIFS('Cấp 5'!$A$5:$A$292,B85,'Cấp 5'!$E$5:$E$292,"Một phần")</f>
        <v/>
      </c>
      <c r="G85" s="7">
        <f>COUNTIFS('Cấp 5'!$A$5:$A$292,B85,'Cấp 5'!$E$5:$E$292,"Chưa")</f>
        <v/>
      </c>
      <c r="H85" s="7">
        <f>COUNTIFS('Cấp 5'!$A$5:$A$292,B85,'Cấp 5'!$E$5:$E$292,"N/A")</f>
        <v/>
      </c>
      <c r="I85" s="7">
        <f>D85-SUM(E85:H85)</f>
        <v/>
      </c>
      <c r="J85" s="8">
        <f>IF(D85-H85=0,"",E85/(D85-H85))</f>
        <v/>
      </c>
    </row>
    <row r="86">
      <c r="A86" s="7" t="inlineStr">
        <is>
          <t>Cấp 5</t>
        </is>
      </c>
      <c r="B86" s="7" t="inlineStr">
        <is>
          <t>7.4</t>
        </is>
      </c>
      <c r="C86" s="7" t="inlineStr">
        <is>
          <t>Quản lý tài sản thông tin</t>
        </is>
      </c>
      <c r="D86" s="7">
        <f>COUNTIFS('Cấp 5'!$A$5:$A$292,B86)</f>
        <v/>
      </c>
      <c r="E86" s="7">
        <f>COUNTIFS('Cấp 5'!$A$5:$A$292,B86,'Cấp 5'!$E$5:$E$292,"Đạt")</f>
        <v/>
      </c>
      <c r="F86" s="7">
        <f>COUNTIFS('Cấp 5'!$A$5:$A$292,B86,'Cấp 5'!$E$5:$E$292,"Một phần")</f>
        <v/>
      </c>
      <c r="G86" s="7">
        <f>COUNTIFS('Cấp 5'!$A$5:$A$292,B86,'Cấp 5'!$E$5:$E$292,"Chưa")</f>
        <v/>
      </c>
      <c r="H86" s="7">
        <f>COUNTIFS('Cấp 5'!$A$5:$A$292,B86,'Cấp 5'!$E$5:$E$292,"N/A")</f>
        <v/>
      </c>
      <c r="I86" s="7">
        <f>D86-SUM(E86:H86)</f>
        <v/>
      </c>
      <c r="J86" s="8">
        <f>IF(D86-H86=0,"",E86/(D86-H86))</f>
        <v/>
      </c>
    </row>
    <row r="87">
      <c r="A87" s="7" t="inlineStr">
        <is>
          <t>Cấp 5</t>
        </is>
      </c>
      <c r="B87" s="7" t="inlineStr">
        <is>
          <t>7.5</t>
        </is>
      </c>
      <c r="C87" s="7" t="inlineStr">
        <is>
          <t>Cấu hình an toàn phần cứng, phần mềm</t>
        </is>
      </c>
      <c r="D87" s="7">
        <f>COUNTIFS('Cấp 5'!$A$5:$A$292,B87)</f>
        <v/>
      </c>
      <c r="E87" s="7">
        <f>COUNTIFS('Cấp 5'!$A$5:$A$292,B87,'Cấp 5'!$E$5:$E$292,"Đạt")</f>
        <v/>
      </c>
      <c r="F87" s="7">
        <f>COUNTIFS('Cấp 5'!$A$5:$A$292,B87,'Cấp 5'!$E$5:$E$292,"Một phần")</f>
        <v/>
      </c>
      <c r="G87" s="7">
        <f>COUNTIFS('Cấp 5'!$A$5:$A$292,B87,'Cấp 5'!$E$5:$E$292,"Chưa")</f>
        <v/>
      </c>
      <c r="H87" s="7">
        <f>COUNTIFS('Cấp 5'!$A$5:$A$292,B87,'Cấp 5'!$E$5:$E$292,"N/A")</f>
        <v/>
      </c>
      <c r="I87" s="7">
        <f>D87-SUM(E87:H87)</f>
        <v/>
      </c>
      <c r="J87" s="8">
        <f>IF(D87-H87=0,"",E87/(D87-H87))</f>
        <v/>
      </c>
    </row>
    <row r="88">
      <c r="A88" s="7" t="inlineStr">
        <is>
          <t>Cấp 5</t>
        </is>
      </c>
      <c r="B88" s="7" t="inlineStr">
        <is>
          <t>7.6</t>
        </is>
      </c>
      <c r="C88" s="7" t="inlineStr">
        <is>
          <t>Quản lý tài khoản và quyền truy cập</t>
        </is>
      </c>
      <c r="D88" s="7">
        <f>COUNTIFS('Cấp 5'!$A$5:$A$292,B88)</f>
        <v/>
      </c>
      <c r="E88" s="7">
        <f>COUNTIFS('Cấp 5'!$A$5:$A$292,B88,'Cấp 5'!$E$5:$E$292,"Đạt")</f>
        <v/>
      </c>
      <c r="F88" s="7">
        <f>COUNTIFS('Cấp 5'!$A$5:$A$292,B88,'Cấp 5'!$E$5:$E$292,"Một phần")</f>
        <v/>
      </c>
      <c r="G88" s="7">
        <f>COUNTIFS('Cấp 5'!$A$5:$A$292,B88,'Cấp 5'!$E$5:$E$292,"Chưa")</f>
        <v/>
      </c>
      <c r="H88" s="7">
        <f>COUNTIFS('Cấp 5'!$A$5:$A$292,B88,'Cấp 5'!$E$5:$E$292,"N/A")</f>
        <v/>
      </c>
      <c r="I88" s="7">
        <f>D88-SUM(E88:H88)</f>
        <v/>
      </c>
      <c r="J88" s="8">
        <f>IF(D88-H88=0,"",E88/(D88-H88))</f>
        <v/>
      </c>
    </row>
    <row r="89">
      <c r="A89" s="7" t="inlineStr">
        <is>
          <t>Cấp 5</t>
        </is>
      </c>
      <c r="B89" s="7" t="inlineStr">
        <is>
          <t>7.7</t>
        </is>
      </c>
      <c r="C89" s="7" t="inlineStr">
        <is>
          <t>Quản lý lỗ hổng bảo mật</t>
        </is>
      </c>
      <c r="D89" s="7">
        <f>COUNTIFS('Cấp 5'!$A$5:$A$292,B89)</f>
        <v/>
      </c>
      <c r="E89" s="7">
        <f>COUNTIFS('Cấp 5'!$A$5:$A$292,B89,'Cấp 5'!$E$5:$E$292,"Đạt")</f>
        <v/>
      </c>
      <c r="F89" s="7">
        <f>COUNTIFS('Cấp 5'!$A$5:$A$292,B89,'Cấp 5'!$E$5:$E$292,"Một phần")</f>
        <v/>
      </c>
      <c r="G89" s="7">
        <f>COUNTIFS('Cấp 5'!$A$5:$A$292,B89,'Cấp 5'!$E$5:$E$292,"Chưa")</f>
        <v/>
      </c>
      <c r="H89" s="7">
        <f>COUNTIFS('Cấp 5'!$A$5:$A$292,B89,'Cấp 5'!$E$5:$E$292,"N/A")</f>
        <v/>
      </c>
      <c r="I89" s="7">
        <f>D89-SUM(E89:H89)</f>
        <v/>
      </c>
      <c r="J89" s="8">
        <f>IF(D89-H89=0,"",E89/(D89-H89))</f>
        <v/>
      </c>
    </row>
    <row r="90">
      <c r="A90" s="7" t="inlineStr">
        <is>
          <t>Cấp 5</t>
        </is>
      </c>
      <c r="B90" s="7" t="inlineStr">
        <is>
          <t>7.8</t>
        </is>
      </c>
      <c r="C90" s="7" t="inlineStr">
        <is>
          <t>Quản lý nhật ký an ninh mạng</t>
        </is>
      </c>
      <c r="D90" s="7">
        <f>COUNTIFS('Cấp 5'!$A$5:$A$292,B90)</f>
        <v/>
      </c>
      <c r="E90" s="7">
        <f>COUNTIFS('Cấp 5'!$A$5:$A$292,B90,'Cấp 5'!$E$5:$E$292,"Đạt")</f>
        <v/>
      </c>
      <c r="F90" s="7">
        <f>COUNTIFS('Cấp 5'!$A$5:$A$292,B90,'Cấp 5'!$E$5:$E$292,"Một phần")</f>
        <v/>
      </c>
      <c r="G90" s="7">
        <f>COUNTIFS('Cấp 5'!$A$5:$A$292,B90,'Cấp 5'!$E$5:$E$292,"Chưa")</f>
        <v/>
      </c>
      <c r="H90" s="7">
        <f>COUNTIFS('Cấp 5'!$A$5:$A$292,B90,'Cấp 5'!$E$5:$E$292,"N/A")</f>
        <v/>
      </c>
      <c r="I90" s="7">
        <f>D90-SUM(E90:H90)</f>
        <v/>
      </c>
      <c r="J90" s="8">
        <f>IF(D90-H90=0,"",E90/(D90-H90))</f>
        <v/>
      </c>
    </row>
    <row r="91">
      <c r="A91" s="7" t="inlineStr">
        <is>
          <t>Cấp 5</t>
        </is>
      </c>
      <c r="B91" s="7" t="inlineStr">
        <is>
          <t>7.9</t>
        </is>
      </c>
      <c r="C91" s="7" t="inlineStr">
        <is>
          <t>Bảo vệ trình duyệt web, thư điện tử</t>
        </is>
      </c>
      <c r="D91" s="7">
        <f>COUNTIFS('Cấp 5'!$A$5:$A$292,B91)</f>
        <v/>
      </c>
      <c r="E91" s="7">
        <f>COUNTIFS('Cấp 5'!$A$5:$A$292,B91,'Cấp 5'!$E$5:$E$292,"Đạt")</f>
        <v/>
      </c>
      <c r="F91" s="7">
        <f>COUNTIFS('Cấp 5'!$A$5:$A$292,B91,'Cấp 5'!$E$5:$E$292,"Một phần")</f>
        <v/>
      </c>
      <c r="G91" s="7">
        <f>COUNTIFS('Cấp 5'!$A$5:$A$292,B91,'Cấp 5'!$E$5:$E$292,"Chưa")</f>
        <v/>
      </c>
      <c r="H91" s="7">
        <f>COUNTIFS('Cấp 5'!$A$5:$A$292,B91,'Cấp 5'!$E$5:$E$292,"N/A")</f>
        <v/>
      </c>
      <c r="I91" s="7">
        <f>D91-SUM(E91:H91)</f>
        <v/>
      </c>
      <c r="J91" s="8">
        <f>IF(D91-H91=0,"",E91/(D91-H91))</f>
        <v/>
      </c>
    </row>
    <row r="92">
      <c r="A92" s="7" t="inlineStr">
        <is>
          <t>Cấp 5</t>
        </is>
      </c>
      <c r="B92" s="7" t="inlineStr">
        <is>
          <t>7.10</t>
        </is>
      </c>
      <c r="C92" s="7" t="inlineStr">
        <is>
          <t>Phòng chống phần mềm độc hại</t>
        </is>
      </c>
      <c r="D92" s="7">
        <f>COUNTIFS('Cấp 5'!$A$5:$A$292,B92)</f>
        <v/>
      </c>
      <c r="E92" s="7">
        <f>COUNTIFS('Cấp 5'!$A$5:$A$292,B92,'Cấp 5'!$E$5:$E$292,"Đạt")</f>
        <v/>
      </c>
      <c r="F92" s="7">
        <f>COUNTIFS('Cấp 5'!$A$5:$A$292,B92,'Cấp 5'!$E$5:$E$292,"Một phần")</f>
        <v/>
      </c>
      <c r="G92" s="7">
        <f>COUNTIFS('Cấp 5'!$A$5:$A$292,B92,'Cấp 5'!$E$5:$E$292,"Chưa")</f>
        <v/>
      </c>
      <c r="H92" s="7">
        <f>COUNTIFS('Cấp 5'!$A$5:$A$292,B92,'Cấp 5'!$E$5:$E$292,"N/A")</f>
        <v/>
      </c>
      <c r="I92" s="7">
        <f>D92-SUM(E92:H92)</f>
        <v/>
      </c>
      <c r="J92" s="8">
        <f>IF(D92-H92=0,"",E92/(D92-H92))</f>
        <v/>
      </c>
    </row>
    <row r="93">
      <c r="A93" s="7" t="inlineStr">
        <is>
          <t>Cấp 5</t>
        </is>
      </c>
      <c r="B93" s="7" t="inlineStr">
        <is>
          <t>7.11</t>
        </is>
      </c>
      <c r="C93" s="7" t="inlineStr">
        <is>
          <t>Sao lưu và khôi phục dữ liệu</t>
        </is>
      </c>
      <c r="D93" s="7">
        <f>COUNTIFS('Cấp 5'!$A$5:$A$292,B93)</f>
        <v/>
      </c>
      <c r="E93" s="7">
        <f>COUNTIFS('Cấp 5'!$A$5:$A$292,B93,'Cấp 5'!$E$5:$E$292,"Đạt")</f>
        <v/>
      </c>
      <c r="F93" s="7">
        <f>COUNTIFS('Cấp 5'!$A$5:$A$292,B93,'Cấp 5'!$E$5:$E$292,"Một phần")</f>
        <v/>
      </c>
      <c r="G93" s="7">
        <f>COUNTIFS('Cấp 5'!$A$5:$A$292,B93,'Cấp 5'!$E$5:$E$292,"Chưa")</f>
        <v/>
      </c>
      <c r="H93" s="7">
        <f>COUNTIFS('Cấp 5'!$A$5:$A$292,B93,'Cấp 5'!$E$5:$E$292,"N/A")</f>
        <v/>
      </c>
      <c r="I93" s="7">
        <f>D93-SUM(E93:H93)</f>
        <v/>
      </c>
      <c r="J93" s="8">
        <f>IF(D93-H93=0,"",E93/(D93-H93))</f>
        <v/>
      </c>
    </row>
    <row r="94">
      <c r="A94" s="7" t="inlineStr">
        <is>
          <t>Cấp 5</t>
        </is>
      </c>
      <c r="B94" s="7" t="inlineStr">
        <is>
          <t>7.12</t>
        </is>
      </c>
      <c r="C94" s="7" t="inlineStr">
        <is>
          <t>Quản lý hạ tầng mạng</t>
        </is>
      </c>
      <c r="D94" s="7">
        <f>COUNTIFS('Cấp 5'!$A$5:$A$292,B94)</f>
        <v/>
      </c>
      <c r="E94" s="7">
        <f>COUNTIFS('Cấp 5'!$A$5:$A$292,B94,'Cấp 5'!$E$5:$E$292,"Đạt")</f>
        <v/>
      </c>
      <c r="F94" s="7">
        <f>COUNTIFS('Cấp 5'!$A$5:$A$292,B94,'Cấp 5'!$E$5:$E$292,"Một phần")</f>
        <v/>
      </c>
      <c r="G94" s="7">
        <f>COUNTIFS('Cấp 5'!$A$5:$A$292,B94,'Cấp 5'!$E$5:$E$292,"Chưa")</f>
        <v/>
      </c>
      <c r="H94" s="7">
        <f>COUNTIFS('Cấp 5'!$A$5:$A$292,B94,'Cấp 5'!$E$5:$E$292,"N/A")</f>
        <v/>
      </c>
      <c r="I94" s="7">
        <f>D94-SUM(E94:H94)</f>
        <v/>
      </c>
      <c r="J94" s="8">
        <f>IF(D94-H94=0,"",E94/(D94-H94))</f>
        <v/>
      </c>
    </row>
    <row r="95">
      <c r="A95" s="7" t="inlineStr">
        <is>
          <t>Cấp 5</t>
        </is>
      </c>
      <c r="B95" s="7" t="inlineStr">
        <is>
          <t>7.13</t>
        </is>
      </c>
      <c r="C95" s="7" t="inlineStr">
        <is>
          <t>Giám sát và phòng thủ an ninh mạng</t>
        </is>
      </c>
      <c r="D95" s="7">
        <f>COUNTIFS('Cấp 5'!$A$5:$A$292,B95)</f>
        <v/>
      </c>
      <c r="E95" s="7">
        <f>COUNTIFS('Cấp 5'!$A$5:$A$292,B95,'Cấp 5'!$E$5:$E$292,"Đạt")</f>
        <v/>
      </c>
      <c r="F95" s="7">
        <f>COUNTIFS('Cấp 5'!$A$5:$A$292,B95,'Cấp 5'!$E$5:$E$292,"Một phần")</f>
        <v/>
      </c>
      <c r="G95" s="7">
        <f>COUNTIFS('Cấp 5'!$A$5:$A$292,B95,'Cấp 5'!$E$5:$E$292,"Chưa")</f>
        <v/>
      </c>
      <c r="H95" s="7">
        <f>COUNTIFS('Cấp 5'!$A$5:$A$292,B95,'Cấp 5'!$E$5:$E$292,"N/A")</f>
        <v/>
      </c>
      <c r="I95" s="7">
        <f>D95-SUM(E95:H95)</f>
        <v/>
      </c>
      <c r="J95" s="8">
        <f>IF(D95-H95=0,"",E95/(D95-H95))</f>
        <v/>
      </c>
    </row>
    <row r="96">
      <c r="A96" s="7" t="inlineStr">
        <is>
          <t>Cấp 5</t>
        </is>
      </c>
      <c r="B96" s="7" t="inlineStr">
        <is>
          <t>7.14</t>
        </is>
      </c>
      <c r="C96" s="7" t="inlineStr">
        <is>
          <t>Nhân sự vận hành, quản trị, bảo vệ an ninh mạng</t>
        </is>
      </c>
      <c r="D96" s="7">
        <f>COUNTIFS('Cấp 5'!$A$5:$A$292,B96)</f>
        <v/>
      </c>
      <c r="E96" s="7">
        <f>COUNTIFS('Cấp 5'!$A$5:$A$292,B96,'Cấp 5'!$E$5:$E$292,"Đạt")</f>
        <v/>
      </c>
      <c r="F96" s="7">
        <f>COUNTIFS('Cấp 5'!$A$5:$A$292,B96,'Cấp 5'!$E$5:$E$292,"Một phần")</f>
        <v/>
      </c>
      <c r="G96" s="7">
        <f>COUNTIFS('Cấp 5'!$A$5:$A$292,B96,'Cấp 5'!$E$5:$E$292,"Chưa")</f>
        <v/>
      </c>
      <c r="H96" s="7">
        <f>COUNTIFS('Cấp 5'!$A$5:$A$292,B96,'Cấp 5'!$E$5:$E$292,"N/A")</f>
        <v/>
      </c>
      <c r="I96" s="7">
        <f>D96-SUM(E96:H96)</f>
        <v/>
      </c>
      <c r="J96" s="8">
        <f>IF(D96-H96=0,"",E96/(D96-H96))</f>
        <v/>
      </c>
    </row>
    <row r="97">
      <c r="A97" s="7" t="inlineStr">
        <is>
          <t>Cấp 5</t>
        </is>
      </c>
      <c r="B97" s="7" t="inlineStr">
        <is>
          <t>7.15</t>
        </is>
      </c>
      <c r="C97" s="7" t="inlineStr">
        <is>
          <t>Quản lý nhà cung cấp sản phẩm, dịch vụ</t>
        </is>
      </c>
      <c r="D97" s="7">
        <f>COUNTIFS('Cấp 5'!$A$5:$A$292,B97)</f>
        <v/>
      </c>
      <c r="E97" s="7">
        <f>COUNTIFS('Cấp 5'!$A$5:$A$292,B97,'Cấp 5'!$E$5:$E$292,"Đạt")</f>
        <v/>
      </c>
      <c r="F97" s="7">
        <f>COUNTIFS('Cấp 5'!$A$5:$A$292,B97,'Cấp 5'!$E$5:$E$292,"Một phần")</f>
        <v/>
      </c>
      <c r="G97" s="7">
        <f>COUNTIFS('Cấp 5'!$A$5:$A$292,B97,'Cấp 5'!$E$5:$E$292,"Chưa")</f>
        <v/>
      </c>
      <c r="H97" s="7">
        <f>COUNTIFS('Cấp 5'!$A$5:$A$292,B97,'Cấp 5'!$E$5:$E$292,"N/A")</f>
        <v/>
      </c>
      <c r="I97" s="7">
        <f>D97-SUM(E97:H97)</f>
        <v/>
      </c>
      <c r="J97" s="8">
        <f>IF(D97-H97=0,"",E97/(D97-H97))</f>
        <v/>
      </c>
    </row>
    <row r="98">
      <c r="A98" s="7" t="inlineStr">
        <is>
          <t>Cấp 5</t>
        </is>
      </c>
      <c r="B98" s="7" t="inlineStr">
        <is>
          <t>7.16</t>
        </is>
      </c>
      <c r="C98" s="7" t="inlineStr">
        <is>
          <t>Phát triển ứng dụng an toàn</t>
        </is>
      </c>
      <c r="D98" s="7">
        <f>COUNTIFS('Cấp 5'!$A$5:$A$292,B98)</f>
        <v/>
      </c>
      <c r="E98" s="7">
        <f>COUNTIFS('Cấp 5'!$A$5:$A$292,B98,'Cấp 5'!$E$5:$E$292,"Đạt")</f>
        <v/>
      </c>
      <c r="F98" s="7">
        <f>COUNTIFS('Cấp 5'!$A$5:$A$292,B98,'Cấp 5'!$E$5:$E$292,"Một phần")</f>
        <v/>
      </c>
      <c r="G98" s="7">
        <f>COUNTIFS('Cấp 5'!$A$5:$A$292,B98,'Cấp 5'!$E$5:$E$292,"Chưa")</f>
        <v/>
      </c>
      <c r="H98" s="7">
        <f>COUNTIFS('Cấp 5'!$A$5:$A$292,B98,'Cấp 5'!$E$5:$E$292,"N/A")</f>
        <v/>
      </c>
      <c r="I98" s="7">
        <f>D98-SUM(E98:H98)</f>
        <v/>
      </c>
      <c r="J98" s="8">
        <f>IF(D98-H98=0,"",E98/(D98-H98))</f>
        <v/>
      </c>
    </row>
    <row r="99">
      <c r="A99" s="7" t="inlineStr">
        <is>
          <t>Cấp 5</t>
        </is>
      </c>
      <c r="B99" s="7" t="inlineStr">
        <is>
          <t>7.17</t>
        </is>
      </c>
      <c r="C99" s="7" t="inlineStr">
        <is>
          <t>Quản trị ứng phó sự cố an ninh mạng</t>
        </is>
      </c>
      <c r="D99" s="7">
        <f>COUNTIFS('Cấp 5'!$A$5:$A$292,B99)</f>
        <v/>
      </c>
      <c r="E99" s="7">
        <f>COUNTIFS('Cấp 5'!$A$5:$A$292,B99,'Cấp 5'!$E$5:$E$292,"Đạt")</f>
        <v/>
      </c>
      <c r="F99" s="7">
        <f>COUNTIFS('Cấp 5'!$A$5:$A$292,B99,'Cấp 5'!$E$5:$E$292,"Một phần")</f>
        <v/>
      </c>
      <c r="G99" s="7">
        <f>COUNTIFS('Cấp 5'!$A$5:$A$292,B99,'Cấp 5'!$E$5:$E$292,"Chưa")</f>
        <v/>
      </c>
      <c r="H99" s="7">
        <f>COUNTIFS('Cấp 5'!$A$5:$A$292,B99,'Cấp 5'!$E$5:$E$292,"N/A")</f>
        <v/>
      </c>
      <c r="I99" s="7">
        <f>D99-SUM(E99:H99)</f>
        <v/>
      </c>
      <c r="J99" s="8">
        <f>IF(D99-H99=0,"",E99/(D99-H99))</f>
        <v/>
      </c>
    </row>
    <row r="100">
      <c r="A100" s="7" t="inlineStr">
        <is>
          <t>Cấp 5</t>
        </is>
      </c>
      <c r="B100" s="7" t="inlineStr">
        <is>
          <t>7.18</t>
        </is>
      </c>
      <c r="C100" s="7" t="inlineStr">
        <is>
          <t>Quản lý kiểm tra an ninh mạng (kiểm thử xâm nhập)</t>
        </is>
      </c>
      <c r="D100" s="7">
        <f>COUNTIFS('Cấp 5'!$A$5:$A$292,B100)</f>
        <v/>
      </c>
      <c r="E100" s="7">
        <f>COUNTIFS('Cấp 5'!$A$5:$A$292,B100,'Cấp 5'!$E$5:$E$292,"Đạt")</f>
        <v/>
      </c>
      <c r="F100" s="7">
        <f>COUNTIFS('Cấp 5'!$A$5:$A$292,B100,'Cấp 5'!$E$5:$E$292,"Một phần")</f>
        <v/>
      </c>
      <c r="G100" s="7">
        <f>COUNTIFS('Cấp 5'!$A$5:$A$292,B100,'Cấp 5'!$E$5:$E$292,"Chưa")</f>
        <v/>
      </c>
      <c r="H100" s="7">
        <f>COUNTIFS('Cấp 5'!$A$5:$A$292,B100,'Cấp 5'!$E$5:$E$292,"N/A")</f>
        <v/>
      </c>
      <c r="I100" s="7">
        <f>D100-SUM(E100:H100)</f>
        <v/>
      </c>
      <c r="J100" s="8">
        <f>IF(D100-H100=0,"",E100/(D100-H100))</f>
        <v/>
      </c>
    </row>
    <row r="101">
      <c r="A101" s="9" t="inlineStr">
        <is>
          <t>Cấp 5</t>
        </is>
      </c>
      <c r="B101" s="9" t="inlineStr"/>
      <c r="C101" s="9" t="inlineStr">
        <is>
          <t>Tổng</t>
        </is>
      </c>
      <c r="D101" s="9">
        <f>SUM(D83:D100)</f>
        <v/>
      </c>
      <c r="E101" s="9">
        <f>SUM(E83:E100)</f>
        <v/>
      </c>
      <c r="F101" s="9">
        <f>SUM(F83:F100)</f>
        <v/>
      </c>
      <c r="G101" s="9">
        <f>SUM(G83:G100)</f>
        <v/>
      </c>
      <c r="H101" s="9">
        <f>SUM(H83:H100)</f>
        <v/>
      </c>
      <c r="I101" s="9">
        <f>SUM(I83:I100)</f>
        <v/>
      </c>
      <c r="J101" s="10">
        <f>IF(D101-H101=0,"",E101/(D101-H101))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1 (TCVN 14423:2026 mục 3)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3.1</t>
        </is>
      </c>
      <c r="B5" s="7" t="inlineStr">
        <is>
          <t>Quản lý rủi ro an ninh mạng</t>
        </is>
      </c>
      <c r="C5" s="7" t="inlineStr">
        <is>
          <t>3.1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3.1</t>
        </is>
      </c>
      <c r="B6" s="7" t="inlineStr">
        <is>
          <t>Quản lý rủi ro an ninh mạng</t>
        </is>
      </c>
      <c r="C6" s="7" t="inlineStr">
        <is>
          <t>3.1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3.2</t>
        </is>
      </c>
      <c r="B7" s="7" t="inlineStr">
        <is>
          <t>Quản lý tài sản phần cứng</t>
        </is>
      </c>
      <c r="C7" s="7" t="inlineStr">
        <is>
          <t>3.2.1 a)</t>
        </is>
      </c>
      <c r="D7" s="7" t="inlineStr">
        <is>
          <t>Danh mục toàn bộ phần cứng của HTTT, kể cả thiết bị bên ngoài có kết nối vào; xác định tài sản cần giám sát</t>
        </is>
      </c>
      <c r="E7" s="11" t="inlineStr"/>
      <c r="F7" s="7" t="inlineStr">
        <is>
          <t>Danh mục tài sản phần cứng</t>
        </is>
      </c>
      <c r="G7" s="7" t="inlineStr"/>
      <c r="H7" s="11" t="inlineStr"/>
      <c r="I7" s="11" t="inlineStr"/>
    </row>
    <row r="8">
      <c r="A8" s="7" t="inlineStr">
        <is>
          <t>3.2</t>
        </is>
      </c>
      <c r="B8" s="7" t="inlineStr">
        <is>
          <t>Quản lý tài sản phần cứng</t>
        </is>
      </c>
      <c r="C8" s="7" t="inlineStr">
        <is>
          <t>3.2.1 b)</t>
        </is>
      </c>
      <c r="D8" s="7" t="inlineStr">
        <is>
          <t>Phát hiện tài sản vô chủ/trái phép để loại bỏ hoặc đưa vào quản lý</t>
        </is>
      </c>
      <c r="E8" s="11" t="inlineStr"/>
      <c r="F8" s="7" t="inlineStr">
        <is>
          <t>Báo cáo rà soát tài sản</t>
        </is>
      </c>
      <c r="G8" s="7" t="inlineStr"/>
      <c r="H8" s="11" t="inlineStr"/>
      <c r="I8" s="11" t="inlineStr"/>
    </row>
    <row r="9">
      <c r="A9" s="7" t="inlineStr">
        <is>
          <t>3.2</t>
        </is>
      </c>
      <c r="B9" s="7" t="inlineStr">
        <is>
          <t>Quản lý tài sản phần cứng</t>
        </is>
      </c>
      <c r="C9" s="7" t="inlineStr">
        <is>
          <t>3.2.1 c)</t>
        </is>
      </c>
      <c r="D9" s="7" t="inlineStr">
        <is>
          <t>Kiểm kê, cập nhật danh mục phần cứng ≥ 1 lần/năm</t>
        </is>
      </c>
      <c r="E9" s="11" t="inlineStr"/>
      <c r="F9" s="7" t="inlineStr">
        <is>
          <t>Biên bản kiểm kê</t>
        </is>
      </c>
      <c r="G9" s="7" t="inlineStr"/>
      <c r="H9" s="11" t="inlineStr"/>
      <c r="I9" s="11" t="inlineStr"/>
    </row>
    <row r="10">
      <c r="A10" s="7" t="inlineStr">
        <is>
          <t>3.2</t>
        </is>
      </c>
      <c r="B10" s="7" t="inlineStr">
        <is>
          <t>Quản lý tài sản phần cứng</t>
        </is>
      </c>
      <c r="C10" s="7" t="inlineStr">
        <is>
          <t>3.2.2.1 a)</t>
        </is>
      </c>
      <c r="D10" s="7" t="inlineStr">
        <is>
          <t>Danh mục phủ mọi thiết bị lưu trữ/xử lý dữ liệu: đầu cuối, di động, lưu trữ ngoài, văn phòng, mạng, OT/IoT, máy chủ vật lý/ảo/cloud</t>
        </is>
      </c>
      <c r="E10" s="11" t="inlineStr"/>
      <c r="F10" s="7" t="inlineStr">
        <is>
          <t>Danh mục tài sản (CMDB/bảng tính)</t>
        </is>
      </c>
      <c r="G10" s="7" t="inlineStr"/>
      <c r="H10" s="11" t="inlineStr"/>
      <c r="I10" s="11" t="inlineStr"/>
    </row>
    <row r="11">
      <c r="A11" s="7" t="inlineStr">
        <is>
          <t>3.2</t>
        </is>
      </c>
      <c r="B11" s="7" t="inlineStr">
        <is>
          <t>Quản lý tài sản phần cứng</t>
        </is>
      </c>
      <c r="C11" s="7" t="inlineStr">
        <is>
          <t>3.2.2.1 b)</t>
        </is>
      </c>
      <c r="D11" s="7" t="inlineStr">
        <is>
          <t>Trường tối thiểu: tên, IP tĩnh, MAC/serial, hạn hỗ trợ của hãng, vị trí địa lý và trong mạng, mục đích, tình trạng; gán người chịu trách nhiệm</t>
        </is>
      </c>
      <c r="E11" s="11" t="inlineStr"/>
      <c r="F11" s="7" t="inlineStr">
        <is>
          <t>Danh mục có đủ trường, cột người phụ trách</t>
        </is>
      </c>
      <c r="G11" s="7" t="inlineStr"/>
      <c r="H11" s="11" t="inlineStr"/>
      <c r="I11" s="11" t="inlineStr"/>
    </row>
    <row r="12">
      <c r="A12" s="7" t="inlineStr">
        <is>
          <t>3.2</t>
        </is>
      </c>
      <c r="B12" s="7" t="inlineStr">
        <is>
          <t>Quản lý tài sản phần cứng</t>
        </is>
      </c>
      <c r="C12" s="7" t="inlineStr">
        <is>
          <t>3.2.2.1 c)</t>
        </is>
      </c>
      <c r="D12" s="7" t="inlineStr">
        <is>
          <t>Đăng ký thiết bị di động được phép kết nối; quy định trách nhiệm cá nhân khi dùng cho công việc</t>
        </is>
      </c>
      <c r="E12" s="11" t="inlineStr"/>
      <c r="F12" s="7" t="inlineStr">
        <is>
          <t>Sổ đăng ký thiết bị di động, quy định sử dụng</t>
        </is>
      </c>
      <c r="G12" s="7" t="inlineStr"/>
      <c r="H12" s="11" t="inlineStr"/>
      <c r="I12" s="11" t="inlineStr"/>
    </row>
    <row r="13">
      <c r="A13" s="7" t="inlineStr">
        <is>
          <t>3.2</t>
        </is>
      </c>
      <c r="B13" s="7" t="inlineStr">
        <is>
          <t>Quản lý tài sản phần cứng</t>
        </is>
      </c>
      <c r="C13" s="7" t="inlineStr">
        <is>
          <t>3.2.2.2 a)</t>
        </is>
      </c>
      <c r="D13" s="7" t="inlineStr">
        <is>
          <t>Quy trình phát hiện, xử lý thiết bị lạ kết nối trái phép, thực hiện ≥ 1 lần/năm</t>
        </is>
      </c>
      <c r="E13" s="11" t="inlineStr"/>
      <c r="F13" s="7" t="inlineStr">
        <is>
          <t>Quy trình + kết quả các lần rà soát</t>
        </is>
      </c>
      <c r="G13" s="7" t="inlineStr"/>
      <c r="H13" s="11" t="inlineStr"/>
      <c r="I13" s="11" t="inlineStr"/>
    </row>
    <row r="14">
      <c r="A14" s="7" t="inlineStr">
        <is>
          <t>3.2</t>
        </is>
      </c>
      <c r="B14" s="7" t="inlineStr">
        <is>
          <t>Quản lý tài sản phần cứng</t>
        </is>
      </c>
      <c r="C14" s="7" t="inlineStr">
        <is>
          <t>3.2.2.2 b)</t>
        </is>
      </c>
      <c r="D14" s="7" t="inlineStr">
        <is>
          <t>Xử lý thiết bị trái phép bằng cách gỡ bỏ, từ chối kết nối hoặc cách ly</t>
        </is>
      </c>
      <c r="E14" s="11" t="inlineStr"/>
      <c r="F14" s="7" t="inlineStr">
        <is>
          <t>Nhật ký xử lý</t>
        </is>
      </c>
      <c r="G14" s="7" t="inlineStr"/>
      <c r="H14" s="11" t="inlineStr"/>
      <c r="I14" s="11" t="inlineStr"/>
    </row>
    <row r="15">
      <c r="A15" s="7" t="inlineStr">
        <is>
          <t>3.3</t>
        </is>
      </c>
      <c r="B15" s="7" t="inlineStr">
        <is>
          <t>Quản lý tài sản phần mềm</t>
        </is>
      </c>
      <c r="C15" s="7" t="inlineStr">
        <is>
          <t>3.3.1 a)</t>
        </is>
      </c>
      <c r="D15" s="7" t="inlineStr">
        <is>
          <t>Quản lý danh mục phần mềm; chỉ phần mềm đã phê duyệt mới được cài và dùng</t>
        </is>
      </c>
      <c r="E15" s="11" t="inlineStr"/>
      <c r="F15" s="7" t="inlineStr">
        <is>
          <t>Danh mục phần mềm, quy trình phê duyệt</t>
        </is>
      </c>
      <c r="G15" s="7" t="inlineStr"/>
      <c r="H15" s="11" t="inlineStr"/>
      <c r="I15" s="11" t="inlineStr"/>
    </row>
    <row r="16">
      <c r="A16" s="7" t="inlineStr">
        <is>
          <t>3.3</t>
        </is>
      </c>
      <c r="B16" s="7" t="inlineStr">
        <is>
          <t>Quản lý tài sản phần mềm</t>
        </is>
      </c>
      <c r="C16" s="7" t="inlineStr">
        <is>
          <t>3.3.1 b)</t>
        </is>
      </c>
      <c r="D16" s="7" t="inlineStr">
        <is>
          <t>Kiểm kê, cập nhật danh mục phần mềm ≥ 1 lần/năm</t>
        </is>
      </c>
      <c r="E16" s="11" t="inlineStr"/>
      <c r="F16" s="7" t="inlineStr">
        <is>
          <t>Biên bản kiểm kê phần mềm</t>
        </is>
      </c>
      <c r="G16" s="7" t="inlineStr"/>
      <c r="H16" s="11" t="inlineStr"/>
      <c r="I16" s="11" t="inlineStr"/>
    </row>
    <row r="17">
      <c r="A17" s="7" t="inlineStr">
        <is>
          <t>3.3</t>
        </is>
      </c>
      <c r="B17" s="7" t="inlineStr">
        <is>
          <t>Quản lý tài sản phần mềm</t>
        </is>
      </c>
      <c r="C17" s="7" t="inlineStr">
        <is>
          <t>3.3.2.1 a)</t>
        </is>
      </c>
      <c r="D17" s="7" t="inlineStr">
        <is>
          <t>Lập danh mục phần mềm đang cài trên các thiết bị thuộc HTTT</t>
        </is>
      </c>
      <c r="E17" s="11" t="inlineStr"/>
      <c r="F17" s="7" t="inlineStr">
        <is>
          <t>Danh mục phần mềm (xuất từ công cụ inventory)</t>
        </is>
      </c>
      <c r="G17" s="7" t="inlineStr"/>
      <c r="H17" s="11" t="inlineStr"/>
      <c r="I17" s="11" t="inlineStr"/>
    </row>
    <row r="18">
      <c r="A18" s="7" t="inlineStr">
        <is>
          <t>3.3</t>
        </is>
      </c>
      <c r="B18" s="7" t="inlineStr">
        <is>
          <t>Quản lý tài sản phần mềm</t>
        </is>
      </c>
      <c r="C18" s="7" t="inlineStr">
        <is>
          <t>3.3.2.1 b)</t>
        </is>
      </c>
      <c r="D18" s="7" t="inlineStr">
        <is>
          <t>Trường tối thiểu: tên, mục đích, hạn hỗ trợ, phạm vi, chủ quản, bản quyền, phiên bản, hệ thống thành phần; gán trách nhiệm</t>
        </is>
      </c>
      <c r="E18" s="11" t="inlineStr"/>
      <c r="F18" s="7" t="inlineStr">
        <is>
          <t>Danh mục có đủ trường</t>
        </is>
      </c>
      <c r="G18" s="7" t="inlineStr"/>
      <c r="H18" s="11" t="inlineStr"/>
      <c r="I18" s="11" t="inlineStr"/>
    </row>
    <row r="19">
      <c r="A19" s="7" t="inlineStr">
        <is>
          <t>3.3</t>
        </is>
      </c>
      <c r="B19" s="7" t="inlineStr">
        <is>
          <t>Quản lý tài sản phần mềm</t>
        </is>
      </c>
      <c r="C19" s="7" t="inlineStr">
        <is>
          <t>3.3.2.2 a)</t>
        </is>
      </c>
      <c r="D19" s="7" t="inlineStr">
        <is>
          <t>Quy trình phát hiện, xử lý phần mềm trái phép ≥ 1 lần/năm</t>
        </is>
      </c>
      <c r="E19" s="11" t="inlineStr"/>
      <c r="F19" s="7" t="inlineStr">
        <is>
          <t>Quy trình + kết quả rà soát</t>
        </is>
      </c>
      <c r="G19" s="7" t="inlineStr"/>
      <c r="H19" s="11" t="inlineStr"/>
      <c r="I19" s="11" t="inlineStr"/>
    </row>
    <row r="20">
      <c r="A20" s="7" t="inlineStr">
        <is>
          <t>3.3</t>
        </is>
      </c>
      <c r="B20" s="7" t="inlineStr">
        <is>
          <t>Quản lý tài sản phần mềm</t>
        </is>
      </c>
      <c r="C20" s="7" t="inlineStr">
        <is>
          <t>3.3.2.2 b)</t>
        </is>
      </c>
      <c r="D20" s="7" t="inlineStr">
        <is>
          <t>Phần mềm trái phép nhưng cần thiết đưa vào danh sách ngoại lệ, kèm biện pháp giảm thiểu</t>
        </is>
      </c>
      <c r="E20" s="11" t="inlineStr"/>
      <c r="F20" s="7" t="inlineStr">
        <is>
          <t>Danh sách ngoại lệ có biện pháp kiểm soát</t>
        </is>
      </c>
      <c r="G20" s="7" t="inlineStr"/>
      <c r="H20" s="11" t="inlineStr"/>
      <c r="I20" s="11" t="inlineStr"/>
    </row>
    <row r="21">
      <c r="A21" s="7" t="inlineStr">
        <is>
          <t>3.3</t>
        </is>
      </c>
      <c r="B21" s="7" t="inlineStr">
        <is>
          <t>Quản lý tài sản phần mềm</t>
        </is>
      </c>
      <c r="C21" s="7" t="inlineStr">
        <is>
          <t>3.3.2.2 c)</t>
        </is>
      </c>
      <c r="D21" s="7" t="inlineStr">
        <is>
          <t>Lập kế hoạch gỡ sớm phần mềm trái phép ngoài danh sách ngoại lệ</t>
        </is>
      </c>
      <c r="E21" s="11" t="inlineStr"/>
      <c r="F21" s="7" t="inlineStr">
        <is>
          <t>Kế hoạch gỡ bỏ, bằng chứng đã gỡ</t>
        </is>
      </c>
      <c r="G21" s="7" t="inlineStr"/>
      <c r="H21" s="11" t="inlineStr"/>
      <c r="I21" s="11" t="inlineStr"/>
    </row>
    <row r="22">
      <c r="A22" s="7" t="inlineStr">
        <is>
          <t>3.4</t>
        </is>
      </c>
      <c r="B22" s="7" t="inlineStr">
        <is>
          <t>Quản lý tài sản thông tin</t>
        </is>
      </c>
      <c r="C22" s="7" t="inlineStr">
        <is>
          <t>3.4.2.1 a)</t>
        </is>
      </c>
      <c r="D22" s="7" t="inlineStr">
        <is>
          <t>Quy định quản lý tài sản thông tin: danh mục, mức nhạy cảm, chủ sở hữu, cách xử lý, thời hạn lưu, yêu cầu tiêu hủy</t>
        </is>
      </c>
      <c r="E22" s="11" t="inlineStr"/>
      <c r="F22" s="7" t="inlineStr">
        <is>
          <t>Quy định quản lý tài sản thông tin</t>
        </is>
      </c>
      <c r="G22" s="7" t="inlineStr"/>
      <c r="H22" s="11" t="inlineStr"/>
      <c r="I22" s="11" t="inlineStr"/>
    </row>
    <row r="23">
      <c r="A23" s="7" t="inlineStr">
        <is>
          <t>3.4</t>
        </is>
      </c>
      <c r="B23" s="7" t="inlineStr">
        <is>
          <t>Quản lý tài sản thông tin</t>
        </is>
      </c>
      <c r="C23" s="7" t="inlineStr">
        <is>
          <t>3.4.2.1 b)</t>
        </is>
      </c>
      <c r="D23" s="7" t="inlineStr">
        <is>
          <t>Quy trình yêu cầu truy cập, thêm, sửa, xóa dữ liệu</t>
        </is>
      </c>
      <c r="E23" s="11" t="inlineStr"/>
      <c r="F23" s="7" t="inlineStr">
        <is>
          <t>Quy trình + phiếu yêu cầu</t>
        </is>
      </c>
      <c r="G23" s="7" t="inlineStr"/>
      <c r="H23" s="11" t="inlineStr"/>
      <c r="I23" s="11" t="inlineStr"/>
    </row>
    <row r="24">
      <c r="A24" s="7" t="inlineStr">
        <is>
          <t>3.4</t>
        </is>
      </c>
      <c r="B24" s="7" t="inlineStr">
        <is>
          <t>Quản lý tài sản thông tin</t>
        </is>
      </c>
      <c r="C24" s="7" t="inlineStr">
        <is>
          <t>3.4.2.1 c)</t>
        </is>
      </c>
      <c r="D24" s="7" t="inlineStr">
        <is>
          <t>Kiểm tra phân quyền dữ liệu ≥ 1 lần/năm</t>
        </is>
      </c>
      <c r="E24" s="11" t="inlineStr"/>
      <c r="F24" s="7" t="inlineStr">
        <is>
          <t>Biên bản rà soát phân quyền</t>
        </is>
      </c>
      <c r="G24" s="7" t="inlineStr"/>
      <c r="H24" s="11" t="inlineStr"/>
      <c r="I24" s="11" t="inlineStr"/>
    </row>
    <row r="25">
      <c r="A25" s="7" t="inlineStr">
        <is>
          <t>3.4</t>
        </is>
      </c>
      <c r="B25" s="7" t="inlineStr">
        <is>
          <t>Quản lý tài sản thông tin</t>
        </is>
      </c>
      <c r="C25" s="7" t="inlineStr">
        <is>
          <t>3.4.2.1 d)</t>
        </is>
      </c>
      <c r="D25" s="7" t="inlineStr">
        <is>
          <t>Rà soát quy trình quản lý tài sản thông tin ≥ 1 lần/năm hoặc khi thay đổi</t>
        </is>
      </c>
      <c r="E25" s="11" t="inlineStr"/>
      <c r="F25" s="7" t="inlineStr">
        <is>
          <t>Lịch sử phiên bản quy trình</t>
        </is>
      </c>
      <c r="G25" s="7" t="inlineStr"/>
      <c r="H25" s="11" t="inlineStr"/>
      <c r="I25" s="11" t="inlineStr"/>
    </row>
    <row r="26">
      <c r="A26" s="7" t="inlineStr">
        <is>
          <t>3.4</t>
        </is>
      </c>
      <c r="B26" s="7" t="inlineStr">
        <is>
          <t>Quản lý tài sản thông tin</t>
        </is>
      </c>
      <c r="C26" s="7" t="inlineStr">
        <is>
          <t>3.4.2.2 a)</t>
        </is>
      </c>
      <c r="D26" s="7" t="inlineStr">
        <is>
          <t>Lập danh mục tài sản thông tin theo quy trình đã ban hành</t>
        </is>
      </c>
      <c r="E26" s="11" t="inlineStr"/>
      <c r="F26" s="7" t="inlineStr">
        <is>
          <t>Danh mục tài sản thông tin</t>
        </is>
      </c>
      <c r="G26" s="7" t="inlineStr"/>
      <c r="H26" s="11" t="inlineStr"/>
      <c r="I26" s="11" t="inlineStr"/>
    </row>
    <row r="27">
      <c r="A27" s="7" t="inlineStr">
        <is>
          <t>3.4</t>
        </is>
      </c>
      <c r="B27" s="7" t="inlineStr">
        <is>
          <t>Quản lý tài sản thông tin</t>
        </is>
      </c>
      <c r="C27" s="7" t="inlineStr">
        <is>
          <t>3.4.2.2 b)</t>
        </is>
      </c>
      <c r="D27" s="7" t="inlineStr">
        <is>
          <t>Cập nhật danh mục tài sản thông tin ≥ 1 lần/năm hoặc khi thay đổi</t>
        </is>
      </c>
      <c r="E27" s="11" t="inlineStr"/>
      <c r="F27" s="7" t="inlineStr">
        <is>
          <t>Ngày cập nhật danh mục</t>
        </is>
      </c>
      <c r="G27" s="7" t="inlineStr"/>
      <c r="H27" s="11" t="inlineStr"/>
      <c r="I27" s="11" t="inlineStr"/>
    </row>
    <row r="28">
      <c r="A28" s="7" t="inlineStr">
        <is>
          <t>3.4</t>
        </is>
      </c>
      <c r="B28" s="7" t="inlineStr">
        <is>
          <t>Quản lý tài sản thông tin</t>
        </is>
      </c>
      <c r="C28" s="7" t="inlineStr">
        <is>
          <t>3.4.2.3</t>
        </is>
      </c>
      <c r="D28" s="7" t="inlineStr">
        <is>
          <t>Ma trận quyền truy cập của từng tài khoản/người dùng với từng loại tài sản thông tin</t>
        </is>
      </c>
      <c r="E28" s="11" t="inlineStr"/>
      <c r="F28" s="7" t="inlineStr">
        <is>
          <t>Ma trận phân quyền (ACL)</t>
        </is>
      </c>
      <c r="G28" s="7" t="inlineStr"/>
      <c r="H28" s="11" t="inlineStr"/>
      <c r="I28" s="11" t="inlineStr"/>
    </row>
    <row r="29">
      <c r="A29" s="7" t="inlineStr">
        <is>
          <t>3.4</t>
        </is>
      </c>
      <c r="B29" s="7" t="inlineStr">
        <is>
          <t>Quản lý tài sản thông tin</t>
        </is>
      </c>
      <c r="C29" s="7" t="inlineStr">
        <is>
          <t>3.4.2.4</t>
        </is>
      </c>
      <c r="D29" s="7" t="inlineStr">
        <is>
          <t>Mã hóa thông tin xác thực (mật khẩu, khóa…) khi lưu trữ</t>
        </is>
      </c>
      <c r="E29" s="11" t="inlineStr"/>
      <c r="F29" s="7" t="inlineStr">
        <is>
          <t>Cấu hình mã hóa (DB/đĩa/hash mật khẩu)</t>
        </is>
      </c>
      <c r="G29" s="7" t="inlineStr"/>
      <c r="H29" s="11" t="inlineStr"/>
      <c r="I29" s="11" t="inlineStr"/>
    </row>
    <row r="30">
      <c r="A30" s="7" t="inlineStr">
        <is>
          <t>3.5</t>
        </is>
      </c>
      <c r="B30" s="7" t="inlineStr">
        <is>
          <t>Cấu hình an toàn phần cứng, phần mềm</t>
        </is>
      </c>
      <c r="C30" s="7" t="inlineStr">
        <is>
          <t>3.5.2.1 a)</t>
        </is>
      </c>
      <c r="D30" s="7" t="inlineStr">
        <is>
          <t>Ban hành quy định/quy trình cấu hình an toàn cho phần cứng và phần mềm</t>
        </is>
      </c>
      <c r="E30" s="11" t="inlineStr"/>
      <c r="F30" s="7" t="inlineStr">
        <is>
          <t>Quy trình cấu hình an toàn</t>
        </is>
      </c>
      <c r="G30" s="7" t="inlineStr"/>
      <c r="H30" s="11" t="inlineStr"/>
      <c r="I30" s="11" t="inlineStr"/>
    </row>
    <row r="31">
      <c r="A31" s="7" t="inlineStr">
        <is>
          <t>3.5</t>
        </is>
      </c>
      <c r="B31" s="7" t="inlineStr">
        <is>
          <t>Cấu hình an toàn phần cứng, phần mềm</t>
        </is>
      </c>
      <c r="C31" s="7" t="inlineStr">
        <is>
          <t>3.5.2.1 b)</t>
        </is>
      </c>
      <c r="D31" s="7" t="inlineStr">
        <is>
          <t>Có tài liệu cấu hình chuẩn/hardening; dùng giao thức kết nối an toàn; bật tường lửa trên máy chủ, máy trạm</t>
        </is>
      </c>
      <c r="E31" s="11" t="inlineStr"/>
      <c r="F31" s="7" t="inlineStr">
        <is>
          <t>Baseline cấu hình (vd theo CIS), ảnh chụp cấu hình</t>
        </is>
      </c>
      <c r="G31" s="7" t="inlineStr"/>
      <c r="H31" s="11" t="inlineStr"/>
      <c r="I31" s="11" t="inlineStr"/>
    </row>
    <row r="32">
      <c r="A32" s="7" t="inlineStr">
        <is>
          <t>3.5</t>
        </is>
      </c>
      <c r="B32" s="7" t="inlineStr">
        <is>
          <t>Cấu hình an toàn phần cứng, phần mềm</t>
        </is>
      </c>
      <c r="C32" s="7" t="inlineStr">
        <is>
          <t>3.5.2.1 c)</t>
        </is>
      </c>
      <c r="D32" s="7" t="inlineStr">
        <is>
          <t>Rà soát quy định và tài liệu cấu hình ≥ 1 lần/năm hoặc khi thay đổi</t>
        </is>
      </c>
      <c r="E32" s="11" t="inlineStr"/>
      <c r="F32" s="7" t="inlineStr">
        <is>
          <t>Lịch sử phiên bản</t>
        </is>
      </c>
      <c r="G32" s="7" t="inlineStr"/>
      <c r="H32" s="11" t="inlineStr"/>
      <c r="I32" s="11" t="inlineStr"/>
    </row>
    <row r="33">
      <c r="A33" s="7" t="inlineStr">
        <is>
          <t>3.5</t>
        </is>
      </c>
      <c r="B33" s="7" t="inlineStr">
        <is>
          <t>Cấu hình an toàn phần cứng, phần mềm</t>
        </is>
      </c>
      <c r="C33" s="7" t="inlineStr">
        <is>
          <t>3.5.2.2 a)</t>
        </is>
      </c>
      <c r="D33" s="7" t="inlineStr">
        <is>
          <t>Tự khóa phiên theo đánh giá rủi ro — gợi ý: máy người dùng ≤ 15 phút; phiên quản trị, thiết bị di động ≤ 5 phút</t>
        </is>
      </c>
      <c r="E33" s="11" t="inlineStr"/>
      <c r="F33" s="7" t="inlineStr">
        <is>
          <t>GPO/MDM/cấu hình timeout</t>
        </is>
      </c>
      <c r="G33" s="7" t="inlineStr"/>
      <c r="H33" s="11" t="inlineStr"/>
      <c r="I33" s="11" t="inlineStr"/>
    </row>
    <row r="34">
      <c r="A34" s="7" t="inlineStr">
        <is>
          <t>3.5</t>
        </is>
      </c>
      <c r="B34" s="7" t="inlineStr">
        <is>
          <t>Cấu hình an toàn phần cứng, phần mềm</t>
        </is>
      </c>
      <c r="C34" s="7" t="inlineStr">
        <is>
          <t>3.5.2.2 a)</t>
        </is>
      </c>
      <c r="D34" s="7" t="inlineStr">
        <is>
          <t>Khóa khi đăng nhập sai — gợi ý: laptop, điện thoại ≤ 10 lần; thời gian khóa 12 giờ–30 ngày</t>
        </is>
      </c>
      <c r="E34" s="11" t="inlineStr"/>
      <c r="F34" s="7" t="inlineStr">
        <is>
          <t>Cấu hình lockout</t>
        </is>
      </c>
      <c r="G34" s="7" t="inlineStr"/>
      <c r="H34" s="11" t="inlineStr"/>
      <c r="I34" s="11" t="inlineStr"/>
    </row>
    <row r="35">
      <c r="A35" s="7" t="inlineStr">
        <is>
          <t>3.5</t>
        </is>
      </c>
      <c r="B35" s="7" t="inlineStr">
        <is>
          <t>Cấu hình an toàn phần cứng, phần mềm</t>
        </is>
      </c>
      <c r="C35" s="7" t="inlineStr">
        <is>
          <t>3.5.2.2 b)</t>
        </is>
      </c>
      <c r="D35" s="7" t="inlineStr">
        <is>
          <t>Có cơ chế mở khóa khẩn cấp cho quản trị viên/tài khoản đặc quyền</t>
        </is>
      </c>
      <c r="E35" s="11" t="inlineStr"/>
      <c r="F35" s="7" t="inlineStr">
        <is>
          <t>Quy trình break-glass</t>
        </is>
      </c>
      <c r="G35" s="7" t="inlineStr"/>
      <c r="H35" s="11" t="inlineStr"/>
      <c r="I35" s="11" t="inlineStr"/>
    </row>
    <row r="36">
      <c r="A36" s="7" t="inlineStr">
        <is>
          <t>3.6</t>
        </is>
      </c>
      <c r="B36" s="7" t="inlineStr">
        <is>
          <t>Quản lý tài khoản và quyền truy cập</t>
        </is>
      </c>
      <c r="C36" s="7" t="inlineStr">
        <is>
          <t>3.6.1 a)</t>
        </is>
      </c>
      <c r="D36" s="7" t="inlineStr">
        <is>
          <t>Quy trình, công cụ cấp/thu hồi quyền cho 4 loại tài khoản (quản trị, tác nghiệp, kỹ thuật, dịch vụ) theo vai trò</t>
        </is>
      </c>
      <c r="E36" s="11" t="inlineStr"/>
      <c r="F36" s="7" t="inlineStr">
        <is>
          <t>Quy trình quản lý tài khoản</t>
        </is>
      </c>
      <c r="G36" s="7" t="inlineStr"/>
      <c r="H36" s="11" t="inlineStr"/>
      <c r="I36" s="11" t="inlineStr"/>
    </row>
    <row r="37">
      <c r="A37" s="7" t="inlineStr">
        <is>
          <t>3.6</t>
        </is>
      </c>
      <c r="B37" s="7" t="inlineStr">
        <is>
          <t>Quản lý tài khoản và quyền truy cập</t>
        </is>
      </c>
      <c r="C37" s="7" t="inlineStr">
        <is>
          <t>3.6.1 c)</t>
        </is>
      </c>
      <c r="D37" s="7" t="inlineStr">
        <is>
          <t>Ghi log và giám sát hoạt động của tài khoản người dùng</t>
        </is>
      </c>
      <c r="E37" s="11" t="inlineStr"/>
      <c r="F37" s="7" t="inlineStr">
        <is>
          <t>Cấu hình audit log đăng nhập</t>
        </is>
      </c>
      <c r="G37" s="7" t="inlineStr"/>
      <c r="H37" s="11" t="inlineStr"/>
      <c r="I37" s="11" t="inlineStr"/>
    </row>
    <row r="38">
      <c r="A38" s="7" t="inlineStr">
        <is>
          <t>3.6</t>
        </is>
      </c>
      <c r="B38" s="7" t="inlineStr">
        <is>
          <t>Quản lý tài khoản và quyền truy cập</t>
        </is>
      </c>
      <c r="C38" s="7" t="inlineStr">
        <is>
          <t>3.6.2.1 a)</t>
        </is>
      </c>
      <c r="D38" s="7" t="inlineStr">
        <is>
          <t>Danh sách mọi tài khoản trên phần cứng và phần mềm</t>
        </is>
      </c>
      <c r="E38" s="11" t="inlineStr"/>
      <c r="F38" s="7" t="inlineStr">
        <is>
          <t>Danh sách tài khoản</t>
        </is>
      </c>
      <c r="G38" s="7" t="inlineStr"/>
      <c r="H38" s="11" t="inlineStr"/>
      <c r="I38" s="11" t="inlineStr"/>
    </row>
    <row r="39">
      <c r="A39" s="7" t="inlineStr">
        <is>
          <t>3.6</t>
        </is>
      </c>
      <c r="B39" s="7" t="inlineStr">
        <is>
          <t>Quản lý tài khoản và quyền truy cập</t>
        </is>
      </c>
      <c r="C39" s="7" t="inlineStr">
        <is>
          <t>3.6.2.1 b)</t>
        </is>
      </c>
      <c r="D39" s="7" t="inlineStr">
        <is>
          <t>Danh sách gồm đủ loại: quản trị, tác nghiệp, dịch vụ, kỹ thuật</t>
        </is>
      </c>
      <c r="E39" s="11" t="inlineStr"/>
      <c r="F39" s="7" t="inlineStr">
        <is>
          <t>Danh sách tài khoản phân loại</t>
        </is>
      </c>
      <c r="G39" s="7" t="inlineStr"/>
      <c r="H39" s="11" t="inlineStr"/>
      <c r="I39" s="11" t="inlineStr"/>
    </row>
    <row r="40">
      <c r="A40" s="7" t="inlineStr">
        <is>
          <t>3.6</t>
        </is>
      </c>
      <c r="B40" s="7" t="inlineStr">
        <is>
          <t>Quản lý tài khoản và quyền truy cập</t>
        </is>
      </c>
      <c r="C40" s="7" t="inlineStr">
        <is>
          <t>3.6.2.1 c)</t>
        </is>
      </c>
      <c r="D40" s="7" t="inlineStr">
        <is>
          <t>Trường tối thiểu: loại, tên, trạng thái, hệ thống, người quản lý, phòng ban, ngày kích hoạt/vô hiệu; không còn tài khoản không hợp lệ</t>
        </is>
      </c>
      <c r="E40" s="11" t="inlineStr"/>
      <c r="F40" s="7" t="inlineStr">
        <is>
          <t>Danh sách có đủ trường</t>
        </is>
      </c>
      <c r="G40" s="7" t="inlineStr"/>
      <c r="H40" s="11" t="inlineStr"/>
      <c r="I40" s="11" t="inlineStr"/>
    </row>
    <row r="41">
      <c r="A41" s="7" t="inlineStr">
        <is>
          <t>3.6</t>
        </is>
      </c>
      <c r="B41" s="7" t="inlineStr">
        <is>
          <t>Quản lý tài khoản và quyền truy cập</t>
        </is>
      </c>
      <c r="C41" s="7" t="inlineStr">
        <is>
          <t>3.6.2.1 d)</t>
        </is>
      </c>
      <c r="D41" s="7" t="inlineStr">
        <is>
          <t>Rà soát danh sách tài khoản ≥ 1 lần/năm</t>
        </is>
      </c>
      <c r="E41" s="11" t="inlineStr"/>
      <c r="F41" s="7" t="inlineStr">
        <is>
          <t>Biên bản rà soát</t>
        </is>
      </c>
      <c r="G41" s="7" t="inlineStr"/>
      <c r="H41" s="11" t="inlineStr"/>
      <c r="I41" s="11" t="inlineStr"/>
    </row>
    <row r="42">
      <c r="A42" s="7" t="inlineStr">
        <is>
          <t>3.6</t>
        </is>
      </c>
      <c r="B42" s="7" t="inlineStr">
        <is>
          <t>Quản lý tài khoản và quyền truy cập</t>
        </is>
      </c>
      <c r="C42" s="7" t="inlineStr">
        <is>
          <t>3.6.2.2 a)</t>
        </is>
      </c>
      <c r="D42" s="7" t="inlineStr">
        <is>
          <t>Cấu hình bắt đổi mật khẩu mặc định; quy tắc độ dài, loại ký tự</t>
        </is>
      </c>
      <c r="E42" s="11" t="inlineStr"/>
      <c r="F42" s="7" t="inlineStr">
        <is>
          <t>Chính sách mật khẩu (GPO/IdP)</t>
        </is>
      </c>
      <c r="G42" s="7" t="inlineStr"/>
      <c r="H42" s="11" t="inlineStr"/>
      <c r="I42" s="11" t="inlineStr"/>
    </row>
    <row r="43">
      <c r="A43" s="7" t="inlineStr">
        <is>
          <t>3.6</t>
        </is>
      </c>
      <c r="B43" s="7" t="inlineStr">
        <is>
          <t>Quản lý tài khoản và quyền truy cập</t>
        </is>
      </c>
      <c r="C43" s="7" t="inlineStr">
        <is>
          <t>3.6.2.2 b)</t>
        </is>
      </c>
      <c r="D43" s="7" t="inlineStr">
        <is>
          <t>Gợi ý: mật khẩu riêng cho từng tài sản hoặc xác thực tập trung; bắt đổi ở lần đăng nhập đầu</t>
        </is>
      </c>
      <c r="E43" s="11" t="inlineStr"/>
      <c r="F43" s="7" t="inlineStr">
        <is>
          <t>Cấu hình IdP/SSO</t>
        </is>
      </c>
      <c r="G43" s="7" t="inlineStr"/>
      <c r="H43" s="11" t="inlineStr"/>
      <c r="I43" s="11" t="inlineStr"/>
    </row>
    <row r="44">
      <c r="A44" s="7" t="inlineStr">
        <is>
          <t>3.6</t>
        </is>
      </c>
      <c r="B44" s="7" t="inlineStr">
        <is>
          <t>Quản lý tài khoản và quyền truy cập</t>
        </is>
      </c>
      <c r="C44" s="7" t="inlineStr">
        <is>
          <t>3.6.2.2 b)</t>
        </is>
      </c>
      <c r="D44" s="7" t="inlineStr">
        <is>
          <t>Gợi ý độ dài: ≥ 8 ký tự nếu có MFA; ≥ 14 ký tự gồm đủ 4 loại ký tự nếu không có MFA</t>
        </is>
      </c>
      <c r="E44" s="11" t="inlineStr"/>
      <c r="F44" s="7" t="inlineStr">
        <is>
          <t>Chính sách mật khẩu</t>
        </is>
      </c>
      <c r="G44" s="7" t="inlineStr"/>
      <c r="H44" s="11" t="inlineStr"/>
      <c r="I44" s="11" t="inlineStr"/>
    </row>
    <row r="45">
      <c r="A45" s="7" t="inlineStr">
        <is>
          <t>3.6</t>
        </is>
      </c>
      <c r="B45" s="7" t="inlineStr">
        <is>
          <t>Quản lý tài khoản và quyền truy cập</t>
        </is>
      </c>
      <c r="C45" s="7" t="inlineStr">
        <is>
          <t>3.6.2.2 b)</t>
        </is>
      </c>
      <c r="D45" s="7" t="inlineStr">
        <is>
          <t>Tài khoản quản trị đổi mật khẩu ít nhất 2 tháng/lần</t>
        </is>
      </c>
      <c r="E45" s="11" t="inlineStr"/>
      <c r="F45" s="7" t="inlineStr">
        <is>
          <t>Chính sách hết hạn mật khẩu tài khoản quản trị</t>
        </is>
      </c>
      <c r="G45" s="7" t="inlineStr"/>
      <c r="H45" s="11" t="inlineStr"/>
      <c r="I45" s="11" t="inlineStr"/>
    </row>
    <row r="46">
      <c r="A46" s="7" t="inlineStr">
        <is>
          <t>3.6</t>
        </is>
      </c>
      <c r="B46" s="7" t="inlineStr">
        <is>
          <t>Quản lý tài khoản và quyền truy cập</t>
        </is>
      </c>
      <c r="C46" s="7" t="inlineStr">
        <is>
          <t>3.6.2.3</t>
        </is>
      </c>
      <c r="D46" s="7" t="inlineStr">
        <is>
          <t>Đổi hoặc vô hiệu hóa tài khoản mặc định (root, administrator, tài khoản cài sẵn của hãng)</t>
        </is>
      </c>
      <c r="E46" s="11" t="inlineStr"/>
      <c r="F46" s="7" t="inlineStr">
        <is>
          <t>Danh sách tài khoản mặc định đã xử lý</t>
        </is>
      </c>
      <c r="G46" s="7" t="inlineStr"/>
      <c r="H46" s="11" t="inlineStr"/>
      <c r="I46" s="11" t="inlineStr"/>
    </row>
    <row r="47">
      <c r="A47" s="7" t="inlineStr">
        <is>
          <t>3.6</t>
        </is>
      </c>
      <c r="B47" s="7" t="inlineStr">
        <is>
          <t>Quản lý tài khoản và quyền truy cập</t>
        </is>
      </c>
      <c r="C47" s="7" t="inlineStr">
        <is>
          <t>3.6.2.3</t>
        </is>
      </c>
      <c r="D47" s="7" t="inlineStr">
        <is>
          <t>Tách biệt quản lý 4 loại tài khoản</t>
        </is>
      </c>
      <c r="E47" s="11" t="inlineStr"/>
      <c r="F47" s="7" t="inlineStr">
        <is>
          <t>Quy định + danh sách phân loại</t>
        </is>
      </c>
      <c r="G47" s="7" t="inlineStr"/>
      <c r="H47" s="11" t="inlineStr"/>
      <c r="I47" s="11" t="inlineStr"/>
    </row>
    <row r="48">
      <c r="A48" s="7" t="inlineStr">
        <is>
          <t>3.6</t>
        </is>
      </c>
      <c r="B48" s="7" t="inlineStr">
        <is>
          <t>Quản lý tài khoản và quyền truy cập</t>
        </is>
      </c>
      <c r="C48" s="7" t="inlineStr">
        <is>
          <t>3.6.2.3</t>
        </is>
      </c>
      <c r="D48" s="7" t="inlineStr">
        <is>
          <t>Mỗi tài khoản gắn một người; dùng chung phải được phê duyệt và truy vết được người dùng từng thời điểm</t>
        </is>
      </c>
      <c r="E48" s="11" t="inlineStr"/>
      <c r="F48" s="7" t="inlineStr">
        <is>
          <t>Phê duyệt tài khoản dùng chung, sổ theo dõi</t>
        </is>
      </c>
      <c r="G48" s="7" t="inlineStr"/>
      <c r="H48" s="11" t="inlineStr"/>
      <c r="I48" s="11" t="inlineStr"/>
    </row>
    <row r="49">
      <c r="A49" s="7" t="inlineStr">
        <is>
          <t>3.6</t>
        </is>
      </c>
      <c r="B49" s="7" t="inlineStr">
        <is>
          <t>Quản lý tài khoản và quyền truy cập</t>
        </is>
      </c>
      <c r="C49" s="7" t="inlineStr">
        <is>
          <t>3.6.2.3</t>
        </is>
      </c>
      <c r="D49" s="7" t="inlineStr">
        <is>
          <t>Xóa/vô hiệu hóa tài khoản không hoạt động quá 45 ngày hoặc ngay khi đổi nhân sự</t>
        </is>
      </c>
      <c r="E49" s="11" t="inlineStr"/>
      <c r="F49" s="7" t="inlineStr">
        <is>
          <t>Báo cáo tài khoản inactive</t>
        </is>
      </c>
      <c r="G49" s="7" t="inlineStr"/>
      <c r="H49" s="11" t="inlineStr"/>
      <c r="I49" s="11" t="inlineStr"/>
    </row>
    <row r="50">
      <c r="A50" s="7" t="inlineStr">
        <is>
          <t>3.6</t>
        </is>
      </c>
      <c r="B50" s="7" t="inlineStr">
        <is>
          <t>Quản lý tài khoản và quyền truy cập</t>
        </is>
      </c>
      <c r="C50" s="7" t="inlineStr">
        <is>
          <t>3.6.2.3</t>
        </is>
      </c>
      <c r="D50" s="7" t="inlineStr">
        <is>
          <t>Rà soát quy định quản lý tài khoản ≥ 1 lần/năm hoặc khi thay đổi</t>
        </is>
      </c>
      <c r="E50" s="11" t="inlineStr"/>
      <c r="F50" s="7" t="inlineStr">
        <is>
          <t>Lịch sử phiên bản</t>
        </is>
      </c>
      <c r="G50" s="7" t="inlineStr"/>
      <c r="H50" s="11" t="inlineStr"/>
      <c r="I50" s="11" t="inlineStr"/>
    </row>
    <row r="51">
      <c r="A51" s="7" t="inlineStr">
        <is>
          <t>3.6</t>
        </is>
      </c>
      <c r="B51" s="7" t="inlineStr">
        <is>
          <t>Quản lý tài khoản và quyền truy cập</t>
        </is>
      </c>
      <c r="C51" s="7" t="inlineStr">
        <is>
          <t>3.6.2.4</t>
        </is>
      </c>
      <c r="D51" s="7" t="inlineStr">
        <is>
          <t>Áp dụng đặc quyền tối thiểu và phân tách nhiệm vụ cho mọi loại tài khoản</t>
        </is>
      </c>
      <c r="E51" s="11" t="inlineStr"/>
      <c r="F51" s="7" t="inlineStr">
        <is>
          <t>Ma trận vai trò – quyền</t>
        </is>
      </c>
      <c r="G51" s="7" t="inlineStr"/>
      <c r="H51" s="11" t="inlineStr"/>
      <c r="I51" s="11" t="inlineStr"/>
    </row>
    <row r="52">
      <c r="A52" s="7" t="inlineStr">
        <is>
          <t>3.6</t>
        </is>
      </c>
      <c r="B52" s="7" t="inlineStr">
        <is>
          <t>Quản lý tài khoản và quyền truy cập</t>
        </is>
      </c>
      <c r="C52" s="7" t="inlineStr">
        <is>
          <t>3.6.2.4</t>
        </is>
      </c>
      <c r="D52" s="7" t="inlineStr">
        <is>
          <t>Tài liệu hóa quyền cần thiết theo chức danh, bộ phận</t>
        </is>
      </c>
      <c r="E52" s="11" t="inlineStr"/>
      <c r="F52" s="7" t="inlineStr">
        <is>
          <t>Ma trận quyền theo chức danh</t>
        </is>
      </c>
      <c r="G52" s="7" t="inlineStr"/>
      <c r="H52" s="11" t="inlineStr"/>
      <c r="I52" s="11" t="inlineStr"/>
    </row>
    <row r="53">
      <c r="A53" s="7" t="inlineStr">
        <is>
          <t>3.6</t>
        </is>
      </c>
      <c r="B53" s="7" t="inlineStr">
        <is>
          <t>Quản lý tài khoản và quyền truy cập</t>
        </is>
      </c>
      <c r="C53" s="7" t="inlineStr">
        <is>
          <t>3.6.2.4</t>
        </is>
      </c>
      <c r="D53" s="7" t="inlineStr">
        <is>
          <t>MFA cho truy cập từ ngoài tổ chức, từ đối tác/bên thứ ba, từ Internet và cho tài khoản quản trị</t>
        </is>
      </c>
      <c r="E53" s="11" t="inlineStr"/>
      <c r="F53" s="7" t="inlineStr">
        <is>
          <t>Cấu hình MFA</t>
        </is>
      </c>
      <c r="G53" s="7" t="inlineStr"/>
      <c r="H53" s="11" t="inlineStr"/>
      <c r="I53" s="11" t="inlineStr"/>
    </row>
    <row r="54">
      <c r="A54" s="7" t="inlineStr">
        <is>
          <t>3.6</t>
        </is>
      </c>
      <c r="B54" s="7" t="inlineStr">
        <is>
          <t>Quản lý tài khoản và quyền truy cập</t>
        </is>
      </c>
      <c r="C54" s="7" t="inlineStr">
        <is>
          <t>3.6.2.4</t>
        </is>
      </c>
      <c r="D54" s="7" t="inlineStr">
        <is>
          <t>Rà soát quy định quản lý truy cập ≥ 1 lần/năm hoặc khi thay đổi</t>
        </is>
      </c>
      <c r="E54" s="11" t="inlineStr"/>
      <c r="F54" s="7" t="inlineStr">
        <is>
          <t>Lịch sử phiên bản</t>
        </is>
      </c>
      <c r="G54" s="7" t="inlineStr"/>
      <c r="H54" s="11" t="inlineStr"/>
      <c r="I54" s="11" t="inlineStr"/>
    </row>
    <row r="55">
      <c r="A55" s="7" t="inlineStr">
        <is>
          <t>3.7</t>
        </is>
      </c>
      <c r="B55" s="7" t="inlineStr">
        <is>
          <t>Quản lý lỗ hổng bảo mật</t>
        </is>
      </c>
      <c r="C55" s="7" t="inlineStr">
        <is>
          <t>3.7.1 b)</t>
        </is>
      </c>
      <c r="D55" s="7" t="inlineStr">
        <is>
          <t>Theo dõi thông tin mối đe dọa, lỗ hổng mới từ nhiều nguồn</t>
        </is>
      </c>
      <c r="E55" s="11" t="inlineStr"/>
      <c r="F55" s="7" t="inlineStr">
        <is>
          <t>Nguồn tin đăng ký (NCSC, CVE, hãng…)</t>
        </is>
      </c>
      <c r="G55" s="7" t="inlineStr"/>
      <c r="H55" s="11" t="inlineStr"/>
      <c r="I55" s="11" t="inlineStr"/>
    </row>
    <row r="56">
      <c r="A56" s="7" t="inlineStr">
        <is>
          <t>3.7</t>
        </is>
      </c>
      <c r="B56" s="7" t="inlineStr">
        <is>
          <t>Quản lý lỗ hổng bảo mật</t>
        </is>
      </c>
      <c r="C56" s="7" t="inlineStr">
        <is>
          <t>3.7.2.1 a)</t>
        </is>
      </c>
      <c r="D56" s="7" t="inlineStr">
        <is>
          <t>Quy trình quản lý lỗ hổng: rà quét phát hiện, chấm mức nghiêm trọng, chia sẻ/tiếp nhận báo cáo, khắc phục theo ưu tiên và kiểm tra lại</t>
        </is>
      </c>
      <c r="E56" s="11" t="inlineStr"/>
      <c r="F56" s="7" t="inlineStr">
        <is>
          <t>Quy trình quản lý lỗ hổng</t>
        </is>
      </c>
      <c r="G56" s="7" t="inlineStr"/>
      <c r="H56" s="11" t="inlineStr"/>
      <c r="I56" s="11" t="inlineStr"/>
    </row>
    <row r="57">
      <c r="A57" s="7" t="inlineStr">
        <is>
          <t>3.7</t>
        </is>
      </c>
      <c r="B57" s="7" t="inlineStr">
        <is>
          <t>Quản lý lỗ hổng bảo mật</t>
        </is>
      </c>
      <c r="C57" s="7" t="inlineStr">
        <is>
          <t>3.7.2.1 b)</t>
        </is>
      </c>
      <c r="D57" s="7" t="inlineStr">
        <is>
          <t>Rà soát quy trình và thực hiện rà quét lỗ hổng ≥ 1 lần/năm hoặc khi thay đổi</t>
        </is>
      </c>
      <c r="E57" s="11" t="inlineStr"/>
      <c r="F57" s="7" t="inlineStr">
        <is>
          <t>Báo cáo rà quét, biên bản rà soát</t>
        </is>
      </c>
      <c r="G57" s="7" t="inlineStr"/>
      <c r="H57" s="11" t="inlineStr"/>
      <c r="I57" s="11" t="inlineStr"/>
    </row>
    <row r="58">
      <c r="A58" s="7" t="inlineStr">
        <is>
          <t>3.7</t>
        </is>
      </c>
      <c r="B58" s="7" t="inlineStr">
        <is>
          <t>Quản lý lỗ hổng bảo mật</t>
        </is>
      </c>
      <c r="C58" s="7" t="inlineStr">
        <is>
          <t>3.7.2.2</t>
        </is>
      </c>
      <c r="D58" s="7" t="inlineStr">
        <is>
          <t>Kiểm tra, cập nhật bản vá HĐH và ứng dụng cho máy tính, di động cấp cho người dùng ≥ 1 lần/tháng</t>
        </is>
      </c>
      <c r="E58" s="11" t="inlineStr"/>
      <c r="F58" s="7" t="inlineStr">
        <is>
          <t>Báo cáo tuân thủ bản vá hằng tháng</t>
        </is>
      </c>
      <c r="G58" s="7" t="inlineStr"/>
      <c r="H58" s="11" t="inlineStr"/>
      <c r="I58" s="11" t="inlineStr"/>
    </row>
    <row r="59">
      <c r="A59" s="7" t="inlineStr">
        <is>
          <t>3.7</t>
        </is>
      </c>
      <c r="B59" s="7" t="inlineStr">
        <is>
          <t>Quản lý lỗ hổng bảo mật</t>
        </is>
      </c>
      <c r="C59" s="7" t="inlineStr">
        <is>
          <t>3.7.2.2</t>
        </is>
      </c>
      <c r="D59" s="7" t="inlineStr">
        <is>
          <t>Giám sát để phát hiện lỗ hổng mới và vá kịp thời</t>
        </is>
      </c>
      <c r="E59" s="11" t="inlineStr"/>
      <c r="F59" s="7" t="inlineStr">
        <is>
          <t>Nhật ký vá</t>
        </is>
      </c>
      <c r="G59" s="7" t="inlineStr"/>
      <c r="H59" s="11" t="inlineStr"/>
      <c r="I59" s="11" t="inlineStr"/>
    </row>
    <row r="60">
      <c r="A60" s="7" t="inlineStr">
        <is>
          <t>3.8</t>
        </is>
      </c>
      <c r="B60" s="7" t="inlineStr">
        <is>
          <t>Quản lý nhật ký an ninh mạng</t>
        </is>
      </c>
      <c r="C60" s="7" t="inlineStr">
        <is>
          <t>3.8.2.1 a)</t>
        </is>
      </c>
      <c r="D60" s="7" t="inlineStr">
        <is>
          <t>Quy định quản lý log: cách ghi, thu thập, kiểm tra, lưu trữ</t>
        </is>
      </c>
      <c r="E60" s="11" t="inlineStr"/>
      <c r="F60" s="7" t="inlineStr">
        <is>
          <t>Quy định quản lý nhật ký</t>
        </is>
      </c>
      <c r="G60" s="7" t="inlineStr"/>
      <c r="H60" s="11" t="inlineStr"/>
      <c r="I60" s="11" t="inlineStr"/>
    </row>
    <row r="61">
      <c r="A61" s="7" t="inlineStr">
        <is>
          <t>3.8</t>
        </is>
      </c>
      <c r="B61" s="7" t="inlineStr">
        <is>
          <t>Quản lý nhật ký an ninh mạng</t>
        </is>
      </c>
      <c r="C61" s="7" t="inlineStr">
        <is>
          <t>3.8.2.1 a)</t>
        </is>
      </c>
      <c r="D61" s="7" t="inlineStr">
        <is>
          <t>Thu thập tối thiểu: log truy cập phần cứng, log truy cập phần mềm, log cảnh báo của thiết bị bảo mật</t>
        </is>
      </c>
      <c r="E61" s="11" t="inlineStr"/>
      <c r="F61" s="7" t="inlineStr">
        <is>
          <t>Danh sách nguồn log</t>
        </is>
      </c>
      <c r="G61" s="7" t="inlineStr"/>
      <c r="H61" s="11" t="inlineStr"/>
      <c r="I61" s="11" t="inlineStr"/>
    </row>
    <row r="62">
      <c r="A62" s="7" t="inlineStr">
        <is>
          <t>3.8</t>
        </is>
      </c>
      <c r="B62" s="7" t="inlineStr">
        <is>
          <t>Quản lý nhật ký an ninh mạng</t>
        </is>
      </c>
      <c r="C62" s="7" t="inlineStr">
        <is>
          <t>3.8.2.1 a)</t>
        </is>
      </c>
      <c r="D62" s="7" t="inlineStr">
        <is>
          <t>Đồng bộ thời gian qua máy chủ thời gian (NTP) cho mọi thành phần tham gia giám sát</t>
        </is>
      </c>
      <c r="E62" s="11" t="inlineStr"/>
      <c r="F62" s="7" t="inlineStr">
        <is>
          <t>Cấu hình NTP</t>
        </is>
      </c>
      <c r="G62" s="7" t="inlineStr"/>
      <c r="H62" s="11" t="inlineStr"/>
      <c r="I62" s="11" t="inlineStr"/>
    </row>
    <row r="63">
      <c r="A63" s="7" t="inlineStr">
        <is>
          <t>3.8</t>
        </is>
      </c>
      <c r="B63" s="7" t="inlineStr">
        <is>
          <t>Quản lý nhật ký an ninh mạng</t>
        </is>
      </c>
      <c r="C63" s="7" t="inlineStr">
        <is>
          <t>3.8.2.1 a)</t>
        </is>
      </c>
      <c r="D63" s="7" t="inlineStr">
        <is>
          <t>Rà soát log ANM ≥ 1 lần/năm</t>
        </is>
      </c>
      <c r="E63" s="11" t="inlineStr"/>
      <c r="F63" s="7" t="inlineStr">
        <is>
          <t>Biên bản rà soát log</t>
        </is>
      </c>
      <c r="G63" s="7" t="inlineStr"/>
      <c r="H63" s="11" t="inlineStr"/>
      <c r="I63" s="11" t="inlineStr"/>
    </row>
    <row r="64">
      <c r="A64" s="7" t="inlineStr">
        <is>
          <t>3.8</t>
        </is>
      </c>
      <c r="B64" s="7" t="inlineStr">
        <is>
          <t>Quản lý nhật ký an ninh mạng</t>
        </is>
      </c>
      <c r="C64" s="7" t="inlineStr">
        <is>
          <t>3.8.2.1 b)</t>
        </is>
      </c>
      <c r="D64" s="7" t="inlineStr">
        <is>
          <t>Kiểm tra, cập nhật quy trình quản lý log ≥ 1 lần/năm hoặc khi thay đổi</t>
        </is>
      </c>
      <c r="E64" s="11" t="inlineStr"/>
      <c r="F64" s="7" t="inlineStr">
        <is>
          <t>Lịch sử phiên bản</t>
        </is>
      </c>
      <c r="G64" s="7" t="inlineStr"/>
      <c r="H64" s="11" t="inlineStr"/>
      <c r="I64" s="11" t="inlineStr"/>
    </row>
    <row r="65">
      <c r="A65" s="7" t="inlineStr">
        <is>
          <t>3.9</t>
        </is>
      </c>
      <c r="B65" s="7" t="inlineStr">
        <is>
          <t>Bảo vệ trình duyệt web, thư điện tử</t>
        </is>
      </c>
      <c r="C65" s="7" t="inlineStr">
        <is>
          <t>3.9.2.1 a)</t>
        </is>
      </c>
      <c r="D65" s="7" t="inlineStr">
        <is>
          <t>Danh sách trình duyệt và dịch vụ email được phép</t>
        </is>
      </c>
      <c r="E65" s="11" t="inlineStr"/>
      <c r="F65" s="7" t="inlineStr">
        <is>
          <t>Danh sách được phép</t>
        </is>
      </c>
      <c r="G65" s="7" t="inlineStr"/>
      <c r="H65" s="11" t="inlineStr"/>
      <c r="I65" s="11" t="inlineStr"/>
    </row>
    <row r="66">
      <c r="A66" s="7" t="inlineStr">
        <is>
          <t>3.9</t>
        </is>
      </c>
      <c r="B66" s="7" t="inlineStr">
        <is>
          <t>Bảo vệ trình duyệt web, thư điện tử</t>
        </is>
      </c>
      <c r="C66" s="7" t="inlineStr">
        <is>
          <t>3.9.2.1 b)</t>
        </is>
      </c>
      <c r="D66" s="7" t="inlineStr">
        <is>
          <t>Chỉ dùng phiên bản còn được hãng hỗ trợ</t>
        </is>
      </c>
      <c r="E66" s="11" t="inlineStr"/>
      <c r="F66" s="7" t="inlineStr">
        <is>
          <t>Báo cáo phiên bản</t>
        </is>
      </c>
      <c r="G66" s="7" t="inlineStr"/>
      <c r="H66" s="11" t="inlineStr"/>
      <c r="I66" s="11" t="inlineStr"/>
    </row>
    <row r="67">
      <c r="A67" s="7" t="inlineStr">
        <is>
          <t>3.9</t>
        </is>
      </c>
      <c r="B67" s="7" t="inlineStr">
        <is>
          <t>Bảo vệ trình duyệt web, thư điện tử</t>
        </is>
      </c>
      <c r="C67" s="7" t="inlineStr">
        <is>
          <t>3.9.2.1 c)</t>
        </is>
      </c>
      <c r="D67" s="7" t="inlineStr">
        <is>
          <t>Cập nhật bản vá trình duyệt, email thường xuyên (hoặc biện pháp tương đương)</t>
        </is>
      </c>
      <c r="E67" s="11" t="inlineStr"/>
      <c r="F67" s="7" t="inlineStr">
        <is>
          <t>Báo cáo bản vá</t>
        </is>
      </c>
      <c r="G67" s="7" t="inlineStr"/>
      <c r="H67" s="11" t="inlineStr"/>
      <c r="I67" s="11" t="inlineStr"/>
    </row>
    <row r="68">
      <c r="A68" s="7" t="inlineStr">
        <is>
          <t>3.9</t>
        </is>
      </c>
      <c r="B68" s="7" t="inlineStr">
        <is>
          <t>Bảo vệ trình duyệt web, thư điện tử</t>
        </is>
      </c>
      <c r="C68" s="7" t="inlineStr">
        <is>
          <t>3.9.2.2</t>
        </is>
      </c>
      <c r="D68" s="7" t="inlineStr">
        <is>
          <t>Dùng dịch vụ lọc tên miền (DNS filtering) chặn tên miền giả mạo, độc hại</t>
        </is>
      </c>
      <c r="E68" s="11" t="inlineStr"/>
      <c r="F68" s="7" t="inlineStr">
        <is>
          <t>Cấu hình DNS filtering</t>
        </is>
      </c>
      <c r="G68" s="7" t="inlineStr"/>
      <c r="H68" s="11" t="inlineStr"/>
      <c r="I68" s="11" t="inlineStr"/>
    </row>
    <row r="69">
      <c r="A69" s="7" t="inlineStr">
        <is>
          <t>3.10</t>
        </is>
      </c>
      <c r="B69" s="7" t="inlineStr">
        <is>
          <t>Phòng chống phần mềm độc hại</t>
        </is>
      </c>
      <c r="C69" s="7" t="inlineStr">
        <is>
          <t>3.10.1 a)</t>
        </is>
      </c>
      <c r="D69" s="7" t="inlineStr">
        <is>
          <t>Quy định phòng, chống, khắc phục mã độc</t>
        </is>
      </c>
      <c r="E69" s="11" t="inlineStr"/>
      <c r="F69" s="7" t="inlineStr">
        <is>
          <t>Quy định phòng chống mã độc</t>
        </is>
      </c>
      <c r="G69" s="7" t="inlineStr"/>
      <c r="H69" s="11" t="inlineStr"/>
      <c r="I69" s="11" t="inlineStr"/>
    </row>
    <row r="70">
      <c r="A70" s="7" t="inlineStr">
        <is>
          <t>3.10</t>
        </is>
      </c>
      <c r="B70" s="7" t="inlineStr">
        <is>
          <t>Phòng chống phần mềm độc hại</t>
        </is>
      </c>
      <c r="C70" s="7" t="inlineStr">
        <is>
          <t>3.10.1 b)</t>
        </is>
      </c>
      <c r="D70" s="7" t="inlineStr">
        <is>
          <t>Chống mã độc cho mọi tài sản và điểm kết nối (trong và ngoài); tự quét, chặn, cập nhật mẫu, gắn với quy trình lỗ hổng/sự cố</t>
        </is>
      </c>
      <c r="E70" s="11" t="inlineStr"/>
      <c r="F70" s="7" t="inlineStr">
        <is>
          <t>Kiến trúc giải pháp</t>
        </is>
      </c>
      <c r="G70" s="7" t="inlineStr"/>
      <c r="H70" s="11" t="inlineStr"/>
      <c r="I70" s="11" t="inlineStr"/>
    </row>
    <row r="71">
      <c r="A71" s="7" t="inlineStr">
        <is>
          <t>3.10</t>
        </is>
      </c>
      <c r="B71" s="7" t="inlineStr">
        <is>
          <t>Phòng chống phần mềm độc hại</t>
        </is>
      </c>
      <c r="C71" s="7" t="inlineStr">
        <is>
          <t>3.10.2.1 a)</t>
        </is>
      </c>
      <c r="D71" s="7" t="inlineStr">
        <is>
          <t>Cài và duy trì phần mềm chống mã độc (hoặc tương đương) trên máy chủ, máy người dùng</t>
        </is>
      </c>
      <c r="E71" s="11" t="inlineStr"/>
      <c r="F71" s="7" t="inlineStr">
        <is>
          <t>Báo cáo độ phủ agent</t>
        </is>
      </c>
      <c r="G71" s="7" t="inlineStr"/>
      <c r="H71" s="11" t="inlineStr"/>
      <c r="I71" s="11" t="inlineStr"/>
    </row>
    <row r="72">
      <c r="A72" s="7" t="inlineStr">
        <is>
          <t>3.10</t>
        </is>
      </c>
      <c r="B72" s="7" t="inlineStr">
        <is>
          <t>Phòng chống phần mềm độc hại</t>
        </is>
      </c>
      <c r="C72" s="7" t="inlineStr">
        <is>
          <t>3.10.2.1 b)</t>
        </is>
      </c>
      <c r="D72" s="7" t="inlineStr">
        <is>
          <t>Tính năng tối thiểu: bảo vệ thời gian thực, tự cập nhật mẫu nhận diện</t>
        </is>
      </c>
      <c r="E72" s="11" t="inlineStr"/>
      <c r="F72" s="7" t="inlineStr">
        <is>
          <t>Cấu hình sản phẩm</t>
        </is>
      </c>
      <c r="G72" s="7" t="inlineStr"/>
      <c r="H72" s="11" t="inlineStr"/>
      <c r="I72" s="11" t="inlineStr"/>
    </row>
    <row r="73">
      <c r="A73" s="7" t="inlineStr">
        <is>
          <t>3.10</t>
        </is>
      </c>
      <c r="B73" s="7" t="inlineStr">
        <is>
          <t>Phòng chống phần mềm độc hại</t>
        </is>
      </c>
      <c r="C73" s="7" t="inlineStr">
        <is>
          <t>3.10.2.2</t>
        </is>
      </c>
      <c r="D73" s="7" t="inlineStr">
        <is>
          <t>Quét mã độc và tắt autorun/autoplay với USB, ổ cứng, thẻ nhớ</t>
        </is>
      </c>
      <c r="E73" s="11" t="inlineStr"/>
      <c r="F73" s="7" t="inlineStr">
        <is>
          <t>GPO tắt autorun, chính sách quét</t>
        </is>
      </c>
      <c r="G73" s="7" t="inlineStr"/>
      <c r="H73" s="11" t="inlineStr"/>
      <c r="I73" s="11" t="inlineStr"/>
    </row>
    <row r="74">
      <c r="A74" s="7" t="inlineStr">
        <is>
          <t>3.11</t>
        </is>
      </c>
      <c r="B74" s="7" t="inlineStr">
        <is>
          <t>Sao lưu và khôi phục dữ liệu</t>
        </is>
      </c>
      <c r="C74" s="7" t="inlineStr">
        <is>
          <t>3.11.2.1 a)</t>
        </is>
      </c>
      <c r="D74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74" s="11" t="inlineStr"/>
      <c r="F74" s="7" t="inlineStr">
        <is>
          <t>Quy định sao lưu</t>
        </is>
      </c>
      <c r="G74" s="7" t="inlineStr"/>
      <c r="H74" s="11" t="inlineStr"/>
      <c r="I74" s="11" t="inlineStr"/>
    </row>
    <row r="75">
      <c r="A75" s="7" t="inlineStr">
        <is>
          <t>3.11</t>
        </is>
      </c>
      <c r="B75" s="7" t="inlineStr">
        <is>
          <t>Sao lưu và khôi phục dữ liệu</t>
        </is>
      </c>
      <c r="C75" s="7" t="inlineStr">
        <is>
          <t>3.11.2.1 b)</t>
        </is>
      </c>
      <c r="D75" s="7" t="inlineStr">
        <is>
          <t>Rà soát quy định sao lưu ≥ 1 lần/năm hoặc khi thay đổi</t>
        </is>
      </c>
      <c r="E75" s="11" t="inlineStr"/>
      <c r="F75" s="7" t="inlineStr">
        <is>
          <t>Lịch sử phiên bản</t>
        </is>
      </c>
      <c r="G75" s="7" t="inlineStr"/>
      <c r="H75" s="11" t="inlineStr"/>
      <c r="I75" s="11" t="inlineStr"/>
    </row>
    <row r="76">
      <c r="A76" s="7" t="inlineStr">
        <is>
          <t>3.11</t>
        </is>
      </c>
      <c r="B76" s="7" t="inlineStr">
        <is>
          <t>Sao lưu và khôi phục dữ liệu</t>
        </is>
      </c>
      <c r="C76" s="7" t="inlineStr">
        <is>
          <t>3.11.2.2</t>
        </is>
      </c>
      <c r="D76" s="7" t="inlineStr">
        <is>
          <t>Danh sách dữ liệu cần sao lưu và tần suất theo ngày/tuần/tháng…</t>
        </is>
      </c>
      <c r="E76" s="11" t="inlineStr"/>
      <c r="F76" s="7" t="inlineStr">
        <is>
          <t>Bảng lịch sao lưu</t>
        </is>
      </c>
      <c r="G76" s="7" t="inlineStr"/>
      <c r="H76" s="11" t="inlineStr"/>
      <c r="I76" s="11" t="inlineStr"/>
    </row>
    <row r="77">
      <c r="A77" s="7" t="inlineStr">
        <is>
          <t>3.11</t>
        </is>
      </c>
      <c r="B77" s="7" t="inlineStr">
        <is>
          <t>Sao lưu và khôi phục dữ liệu</t>
        </is>
      </c>
      <c r="C77" s="7" t="inlineStr">
        <is>
          <t>3.11.2.3</t>
        </is>
      </c>
      <c r="D77" s="7" t="inlineStr">
        <is>
          <t>Bảo vệ bản sao lưu: toàn vẹn, sẵn sàng, khôi phục được</t>
        </is>
      </c>
      <c r="E77" s="11" t="inlineStr"/>
      <c r="F77" s="7" t="inlineStr">
        <is>
          <t>Cấu hình bảo vệ</t>
        </is>
      </c>
      <c r="G77" s="7" t="inlineStr"/>
      <c r="H77" s="11" t="inlineStr"/>
      <c r="I77" s="11" t="inlineStr"/>
    </row>
    <row r="78">
      <c r="A78" s="7" t="inlineStr">
        <is>
          <t>3.12</t>
        </is>
      </c>
      <c r="B78" s="7" t="inlineStr">
        <is>
          <t>Quản lý hạ tầng mạng</t>
        </is>
      </c>
      <c r="C78" s="7" t="inlineStr">
        <is>
          <t>3.12.2.1 a)</t>
        </is>
      </c>
      <c r="D78" s="7" t="inlineStr">
        <is>
          <t>Lập, duy trì sơ đồ kiến trúc mạng và hồ sơ mạng</t>
        </is>
      </c>
      <c r="E78" s="11" t="inlineStr"/>
      <c r="F78" s="7" t="inlineStr">
        <is>
          <t>Sơ đồ mạng; biên bản thẩm tra thiết kế (cấp 4–5)</t>
        </is>
      </c>
      <c r="G78" s="7" t="inlineStr"/>
      <c r="H78" s="11" t="inlineStr"/>
      <c r="I78" s="11" t="inlineStr"/>
    </row>
    <row r="79">
      <c r="A79" s="7" t="inlineStr">
        <is>
          <t>3.12</t>
        </is>
      </c>
      <c r="B79" s="7" t="inlineStr">
        <is>
          <t>Quản lý hạ tầng mạng</t>
        </is>
      </c>
      <c r="C79" s="7" t="inlineStr">
        <is>
          <t>3.12.2.1 b)</t>
        </is>
      </c>
      <c r="D79" s="7" t="inlineStr">
        <is>
          <t>Kiến trúc mạng an toàn theo 3 nguyên tắc: phân vùng, đặc quyền tối thiểu, sẵn sàng</t>
        </is>
      </c>
      <c r="E79" s="11" t="inlineStr"/>
      <c r="F79" s="7" t="inlineStr">
        <is>
          <t>Tài liệu kiến trúc</t>
        </is>
      </c>
      <c r="G79" s="7" t="inlineStr"/>
      <c r="H79" s="11" t="inlineStr"/>
      <c r="I79" s="11" t="inlineStr"/>
    </row>
    <row r="80">
      <c r="A80" s="7" t="inlineStr">
        <is>
          <t>3.12</t>
        </is>
      </c>
      <c r="B80" s="7" t="inlineStr">
        <is>
          <t>Quản lý hạ tầng mạng</t>
        </is>
      </c>
      <c r="C80" s="7" t="inlineStr">
        <is>
          <t>3.12.2.1 c)</t>
        </is>
      </c>
      <c r="D80" s="7" t="inlineStr">
        <is>
          <t>Hồ sơ mạng gồm: tổng quan kiến trúc, sơ đồ chi tiết, tài liệu kỹ thuật, mô tả phương án ANM</t>
        </is>
      </c>
      <c r="E80" s="11" t="inlineStr"/>
      <c r="F80" s="7" t="inlineStr">
        <is>
          <t>Bộ hồ sơ mạng</t>
        </is>
      </c>
      <c r="G80" s="7" t="inlineStr"/>
      <c r="H80" s="11" t="inlineStr"/>
      <c r="I80" s="11" t="inlineStr"/>
    </row>
    <row r="81">
      <c r="A81" s="7" t="inlineStr">
        <is>
          <t>3.12</t>
        </is>
      </c>
      <c r="B81" s="7" t="inlineStr">
        <is>
          <t>Quản lý hạ tầng mạng</t>
        </is>
      </c>
      <c r="C81" s="7" t="inlineStr">
        <is>
          <t>3.12.2.1 d)</t>
        </is>
      </c>
      <c r="D81" s="7" t="inlineStr">
        <is>
          <t>Cập nhật sơ đồ mạng 1 lần/năm hoặc khi thay đổi</t>
        </is>
      </c>
      <c r="E81" s="11" t="inlineStr"/>
      <c r="F81" s="7" t="inlineStr">
        <is>
          <t>Lịch sử phiên bản sơ đồ</t>
        </is>
      </c>
      <c r="G81" s="7" t="inlineStr"/>
      <c r="H81" s="11" t="inlineStr"/>
      <c r="I81" s="11" t="inlineStr"/>
    </row>
    <row r="82">
      <c r="A82" s="7" t="inlineStr">
        <is>
          <t>3.12</t>
        </is>
      </c>
      <c r="B82" s="7" t="inlineStr">
        <is>
          <t>Quản lý hạ tầng mạng</t>
        </is>
      </c>
      <c r="C82" s="7" t="inlineStr">
        <is>
          <t>3.12.2.2</t>
        </is>
      </c>
      <c r="D82" s="7" t="inlineStr">
        <is>
          <t>Có phương án dự phòng cho thiết bị mạng chính</t>
        </is>
      </c>
      <c r="E82" s="11" t="inlineStr"/>
      <c r="F82" s="7" t="inlineStr">
        <is>
          <t>Sơ đồ HA, hợp đồng kênh truyền</t>
        </is>
      </c>
      <c r="G82" s="7" t="inlineStr"/>
      <c r="H82" s="11" t="inlineStr"/>
      <c r="I82" s="11" t="inlineStr"/>
    </row>
    <row r="83">
      <c r="A83" s="7" t="inlineStr">
        <is>
          <t>3.12</t>
        </is>
      </c>
      <c r="B83" s="7" t="inlineStr">
        <is>
          <t>Quản lý hạ tầng mạng</t>
        </is>
      </c>
      <c r="C83" s="7" t="inlineStr">
        <is>
          <t>3.12.2.2</t>
        </is>
      </c>
      <c r="D83" s="7" t="inlineStr">
        <is>
          <t>Tường lửa có IPS (hoặc tương đương) kiểm soát giữa vùng mạng; kiểm soát thiết bị đầu cuối kết nối vào mạng</t>
        </is>
      </c>
      <c r="E83" s="11" t="inlineStr"/>
      <c r="F83" s="7" t="inlineStr">
        <is>
          <t>Cấu hình NGFW/IPS</t>
        </is>
      </c>
      <c r="G83" s="7" t="inlineStr"/>
      <c r="H83" s="11" t="inlineStr"/>
      <c r="I83" s="11" t="inlineStr"/>
    </row>
    <row r="84">
      <c r="A84" s="7" t="inlineStr">
        <is>
          <t>3.12</t>
        </is>
      </c>
      <c r="B84" s="7" t="inlineStr">
        <is>
          <t>Quản lý hạ tầng mạng</t>
        </is>
      </c>
      <c r="C84" s="7" t="inlineStr">
        <is>
          <t>3.12.2.2</t>
        </is>
      </c>
      <c r="D84" s="7" t="inlineStr">
        <is>
          <t>Cập nhật định kỳ CSDL nhận diện tấn công cho các giải pháp ANM</t>
        </is>
      </c>
      <c r="E84" s="11" t="inlineStr"/>
      <c r="F84" s="7" t="inlineStr">
        <is>
          <t>Nhật ký cập nhật signature</t>
        </is>
      </c>
      <c r="G84" s="7" t="inlineStr"/>
      <c r="H84" s="11" t="inlineStr"/>
      <c r="I84" s="11" t="inlineStr"/>
    </row>
    <row r="85">
      <c r="A85" s="7" t="inlineStr">
        <is>
          <t>3.12</t>
        </is>
      </c>
      <c r="B85" s="7" t="inlineStr">
        <is>
          <t>Quản lý hạ tầng mạng</t>
        </is>
      </c>
      <c r="C85" s="7" t="inlineStr">
        <is>
          <t>3.12.2.2</t>
        </is>
      </c>
      <c r="D85" s="7" t="inlineStr">
        <is>
          <t>Quản lý thay đổi</t>
        </is>
      </c>
      <c r="E85" s="11" t="inlineStr"/>
      <c r="F85" s="7" t="inlineStr">
        <is>
          <t>Phiếu thay đổi (change request)</t>
        </is>
      </c>
      <c r="G85" s="7" t="inlineStr"/>
      <c r="H85" s="11" t="inlineStr"/>
      <c r="I85" s="11" t="inlineStr"/>
    </row>
    <row r="86">
      <c r="A86" s="7" t="inlineStr">
        <is>
          <t>3.12</t>
        </is>
      </c>
      <c r="B86" s="7" t="inlineStr">
        <is>
          <t>Quản lý hạ tầng mạng</t>
        </is>
      </c>
      <c r="C86" s="7" t="inlineStr">
        <is>
          <t>3.12.2.2</t>
        </is>
      </c>
      <c r="D86" s="7" t="inlineStr">
        <is>
          <t>Theo dõi hiệu năng (CPU, RAM…) để bảo đảm hoạt động bình thường</t>
        </is>
      </c>
      <c r="E86" s="11" t="inlineStr"/>
      <c r="F86" s="7" t="inlineStr">
        <is>
          <t>Dashboard giám sát</t>
        </is>
      </c>
      <c r="G86" s="7" t="inlineStr"/>
      <c r="H86" s="11" t="inlineStr"/>
      <c r="I86" s="11" t="inlineStr"/>
    </row>
    <row r="87">
      <c r="A87" s="7" t="inlineStr">
        <is>
          <t>3.12</t>
        </is>
      </c>
      <c r="B87" s="7" t="inlineStr">
        <is>
          <t>Quản lý hạ tầng mạng</t>
        </is>
      </c>
      <c r="C87" s="7" t="inlineStr">
        <is>
          <t>3.12.2.3 a)</t>
        </is>
      </c>
      <c r="D87" s="7" t="inlineStr">
        <is>
          <t>Lập kế hoạch và quy trình kiểm thử, nghiệm thu (nêu rõ nội dung cần thử)</t>
        </is>
      </c>
      <c r="E87" s="11" t="inlineStr"/>
      <c r="F87" s="7" t="inlineStr">
        <is>
          <t>Kế hoạch thử nghiệm</t>
        </is>
      </c>
      <c r="G87" s="7" t="inlineStr"/>
      <c r="H87" s="11" t="inlineStr"/>
      <c r="I87" s="11" t="inlineStr"/>
    </row>
    <row r="88">
      <c r="A88" s="7" t="inlineStr">
        <is>
          <t>3.12</t>
        </is>
      </c>
      <c r="B88" s="7" t="inlineStr">
        <is>
          <t>Quản lý hạ tầng mạng</t>
        </is>
      </c>
      <c r="C88" s="7" t="inlineStr">
        <is>
          <t>3.12.2.3 b)</t>
        </is>
      </c>
      <c r="D88" s="7" t="inlineStr">
        <is>
          <t>Kiểm thử hệ thống trước khi đưa vào vận hành</t>
        </is>
      </c>
      <c r="E88" s="11" t="inlineStr"/>
      <c r="F88" s="7" t="inlineStr">
        <is>
          <t>Báo cáo kiểm thử</t>
        </is>
      </c>
      <c r="G88" s="7" t="inlineStr"/>
      <c r="H88" s="11" t="inlineStr"/>
      <c r="I88" s="11" t="inlineStr"/>
    </row>
    <row r="89">
      <c r="A89" s="7" t="inlineStr">
        <is>
          <t>3.12</t>
        </is>
      </c>
      <c r="B89" s="7" t="inlineStr">
        <is>
          <t>Quản lý hạ tầng mạng</t>
        </is>
      </c>
      <c r="C89" s="7" t="inlineStr">
        <is>
          <t>3.12.2.3 c)</t>
        </is>
      </c>
      <c r="D89" s="7" t="inlineStr">
        <is>
          <t>Có nhân sự phụ trách thử nghiệm, nghiệm thu</t>
        </is>
      </c>
      <c r="E89" s="11" t="inlineStr"/>
      <c r="F89" s="7" t="inlineStr">
        <is>
          <t>Quyết định phân công</t>
        </is>
      </c>
      <c r="G89" s="7" t="inlineStr"/>
      <c r="H89" s="11" t="inlineStr"/>
      <c r="I89" s="11" t="inlineStr"/>
    </row>
    <row r="90">
      <c r="A90" s="7" t="inlineStr">
        <is>
          <t>3.12</t>
        </is>
      </c>
      <c r="B90" s="7" t="inlineStr">
        <is>
          <t>Quản lý hạ tầng mạng</t>
        </is>
      </c>
      <c r="C90" s="7" t="inlineStr">
        <is>
          <t>3.12.2.4 a)</t>
        </is>
      </c>
      <c r="D90" s="7" t="inlineStr">
        <is>
          <t>Chỉ cho phép kết nối an toàn (nếu hỗ trợ) khi truy cập nội bộ hoặc quản trị từ xa</t>
        </is>
      </c>
      <c r="E90" s="11" t="inlineStr"/>
      <c r="F90" s="7" t="inlineStr">
        <is>
          <t>Cấu hình SSH/TLS, tắt Telnet/HTTP</t>
        </is>
      </c>
      <c r="G90" s="7" t="inlineStr"/>
      <c r="H90" s="11" t="inlineStr"/>
      <c r="I90" s="11" t="inlineStr"/>
    </row>
    <row r="91">
      <c r="A91" s="7" t="inlineStr">
        <is>
          <t>3.12</t>
        </is>
      </c>
      <c r="B91" s="7" t="inlineStr">
        <is>
          <t>Quản lý hạ tầng mạng</t>
        </is>
      </c>
      <c r="C91" s="7" t="inlineStr">
        <is>
          <t>3.12.2.4 b)</t>
        </is>
      </c>
      <c r="D91" s="7" t="inlineStr">
        <is>
          <t>Thiết bị phải yêu cầu đăng nhập khi quản trị tại chỗ cũng như từ xa</t>
        </is>
      </c>
      <c r="E91" s="11" t="inlineStr"/>
      <c r="F91" s="7" t="inlineStr">
        <is>
          <t>Cấu hình xác thực thiết bị</t>
        </is>
      </c>
      <c r="G91" s="7" t="inlineStr"/>
      <c r="H91" s="11" t="inlineStr"/>
      <c r="I91" s="11" t="inlineStr"/>
    </row>
    <row r="92">
      <c r="A92" s="7" t="inlineStr">
        <is>
          <t>3.12</t>
        </is>
      </c>
      <c r="B92" s="7" t="inlineStr">
        <is>
          <t>Quản lý hạ tầng mạng</t>
        </is>
      </c>
      <c r="C92" s="7" t="inlineStr">
        <is>
          <t>3.12.2.4 c)</t>
        </is>
      </c>
      <c r="D92" s="7" t="inlineStr">
        <is>
          <t>Kiểm soát truy cập từ ngoài vào theo từng dịch vụ; chặn mọi truy cập không được phép</t>
        </is>
      </c>
      <c r="E92" s="11" t="inlineStr"/>
      <c r="F92" s="7" t="inlineStr">
        <is>
          <t>Rule firewall</t>
        </is>
      </c>
      <c r="G92" s="7" t="inlineStr"/>
      <c r="H92" s="11" t="inlineStr"/>
      <c r="I92" s="11" t="inlineStr"/>
    </row>
    <row r="93">
      <c r="A93" s="7" t="inlineStr">
        <is>
          <t>3.12</t>
        </is>
      </c>
      <c r="B93" s="7" t="inlineStr">
        <is>
          <t>Quản lý hạ tầng mạng</t>
        </is>
      </c>
      <c r="C93" s="7" t="inlineStr">
        <is>
          <t>3.12.2.4 d)</t>
        </is>
      </c>
      <c r="D93" s="7" t="inlineStr">
        <is>
          <t>Đặt timeout tự đóng phiên kết nối không hoạt động</t>
        </is>
      </c>
      <c r="E93" s="11" t="inlineStr"/>
      <c r="F93" s="7" t="inlineStr">
        <is>
          <t>Cấu hình timeout</t>
        </is>
      </c>
      <c r="G93" s="7" t="inlineStr"/>
      <c r="H93" s="11" t="inlineStr"/>
      <c r="I93" s="11" t="inlineStr"/>
    </row>
    <row r="94">
      <c r="A94" s="7" t="inlineStr">
        <is>
          <t>3.12</t>
        </is>
      </c>
      <c r="B94" s="7" t="inlineStr">
        <is>
          <t>Quản lý hạ tầng mạng</t>
        </is>
      </c>
      <c r="C94" s="7" t="inlineStr">
        <is>
          <t>3.12.2.5</t>
        </is>
      </c>
      <c r="D94" s="7" t="inlineStr">
        <is>
          <t>Truy cập từ xa của quản trị viên, người dùng tác nghiệp qua VPN (hoặc tương đương) có xác thực</t>
        </is>
      </c>
      <c r="E94" s="11" t="inlineStr"/>
      <c r="F94" s="7" t="inlineStr">
        <is>
          <t>Cấu hình VPN/ZTNA</t>
        </is>
      </c>
      <c r="G94" s="7" t="inlineStr"/>
      <c r="H94" s="11" t="inlineStr"/>
      <c r="I94" s="11" t="inlineStr"/>
    </row>
    <row r="95">
      <c r="A95" s="7" t="inlineStr">
        <is>
          <t>3.13</t>
        </is>
      </c>
      <c r="B95" s="7" t="inlineStr">
        <is>
          <t>Nhân sự vận hành, quản trị, bảo vệ an ninh mạng</t>
        </is>
      </c>
      <c r="C95" s="7" t="inlineStr">
        <is>
          <t>3.13.2.1 a)</t>
        </is>
      </c>
      <c r="D95" s="7" t="inlineStr">
        <is>
          <t>Phân công người phụ trách vận hành, quản trị và bảo vệ ANM cho hệ thống</t>
        </is>
      </c>
      <c r="E95" s="11" t="inlineStr"/>
      <c r="F95" s="7" t="inlineStr">
        <is>
          <t>Quyết định phân công</t>
        </is>
      </c>
      <c r="G95" s="7" t="inlineStr"/>
      <c r="H95" s="11" t="inlineStr"/>
      <c r="I95" s="11" t="inlineStr"/>
    </row>
    <row r="96">
      <c r="A96" s="7" t="inlineStr">
        <is>
          <t>3.13</t>
        </is>
      </c>
      <c r="B96" s="7" t="inlineStr">
        <is>
          <t>Nhân sự vận hành, quản trị, bảo vệ an ninh mạng</t>
        </is>
      </c>
      <c r="C96" s="7" t="inlineStr">
        <is>
          <t>3.13.2.1 b)</t>
        </is>
      </c>
      <c r="D96" s="7" t="inlineStr">
        <is>
          <t>Nhân sự có trình độ ANM/CNTT; ký cam kết bảo mật trong và sau khi nghỉ việc</t>
        </is>
      </c>
      <c r="E96" s="11" t="inlineStr"/>
      <c r="F96" s="7" t="inlineStr">
        <is>
          <t>Hồ sơ năng lực, cam kết bảo mật</t>
        </is>
      </c>
      <c r="G96" s="7" t="inlineStr"/>
      <c r="H96" s="11" t="inlineStr"/>
      <c r="I96" s="11" t="inlineStr"/>
    </row>
    <row r="97">
      <c r="A97" s="7" t="inlineStr">
        <is>
          <t>3.13</t>
        </is>
      </c>
      <c r="B97" s="7" t="inlineStr">
        <is>
          <t>Nhân sự vận hành, quản trị, bảo vệ an ninh mạng</t>
        </is>
      </c>
      <c r="C97" s="7" t="inlineStr">
        <is>
          <t>3.13.2.2 a)</t>
        </is>
      </c>
      <c r="D97" s="7" t="inlineStr">
        <is>
          <t>Chương trình nâng cao nhận thức ANM cho mọi người dùng HTTT</t>
        </is>
      </c>
      <c r="E97" s="11" t="inlineStr"/>
      <c r="F97" s="7" t="inlineStr">
        <is>
          <t>Tài liệu, danh sách tham dự</t>
        </is>
      </c>
      <c r="G97" s="7" t="inlineStr"/>
      <c r="H97" s="11" t="inlineStr"/>
      <c r="I97" s="11" t="inlineStr"/>
    </row>
    <row r="98">
      <c r="A98" s="7" t="inlineStr">
        <is>
          <t>3.13</t>
        </is>
      </c>
      <c r="B98" s="7" t="inlineStr">
        <is>
          <t>Nhân sự vận hành, quản trị, bảo vệ an ninh mạng</t>
        </is>
      </c>
      <c r="C98" s="7" t="inlineStr">
        <is>
          <t>3.13.2.2 b)</t>
        </is>
      </c>
      <c r="D98" s="7" t="inlineStr">
        <is>
          <t>Đào tạo nhận thức ≥ 1 lần/năm</t>
        </is>
      </c>
      <c r="E98" s="11" t="inlineStr"/>
      <c r="F98" s="7" t="inlineStr">
        <is>
          <t>Danh sách, bài kiểm tra</t>
        </is>
      </c>
      <c r="G98" s="7" t="inlineStr"/>
      <c r="H98" s="11" t="inlineStr"/>
      <c r="I98" s="11" t="inlineStr"/>
    </row>
    <row r="99">
      <c r="A99" s="7" t="inlineStr">
        <is>
          <t>3.13</t>
        </is>
      </c>
      <c r="B99" s="7" t="inlineStr">
        <is>
          <t>Nhân sự vận hành, quản trị, bảo vệ an ninh mạng</t>
        </is>
      </c>
      <c r="C99" s="7" t="inlineStr">
        <is>
          <t>3.13.2.2 c)</t>
        </is>
      </c>
      <c r="D99" s="7" t="inlineStr">
        <is>
          <t>Thu hồi thẻ, dữ liệu, thiết bị, tài sản khi nghỉ hoặc chuyển việc</t>
        </is>
      </c>
      <c r="E99" s="11" t="inlineStr"/>
      <c r="F99" s="7" t="inlineStr">
        <is>
          <t>Biên bản bàn giao</t>
        </is>
      </c>
      <c r="G99" s="7" t="inlineStr"/>
      <c r="H99" s="11" t="inlineStr"/>
      <c r="I99" s="11" t="inlineStr"/>
    </row>
    <row r="100">
      <c r="A100" s="7" t="inlineStr">
        <is>
          <t>3.14</t>
        </is>
      </c>
      <c r="B100" s="7" t="inlineStr">
        <is>
          <t>Quản lý nhà cung cấp sản phẩm, dịch vụ</t>
        </is>
      </c>
      <c r="C100" s="7" t="inlineStr">
        <is>
          <t>3.14.1</t>
        </is>
      </c>
      <c r="D100" s="7" t="inlineStr">
        <is>
          <t>Quy trình đánh giá nhà cung cấp dịch vụ ANM, lưu trữ/xử lý dữ liệu nhạy cảm, nền tảng quan trọng</t>
        </is>
      </c>
      <c r="E100" s="11" t="inlineStr"/>
      <c r="F100" s="7" t="inlineStr">
        <is>
          <t>Quy trình đánh giá NCC</t>
        </is>
      </c>
      <c r="G100" s="7" t="inlineStr"/>
      <c r="H100" s="11" t="inlineStr"/>
      <c r="I100" s="11" t="inlineStr"/>
    </row>
    <row r="101">
      <c r="A101" s="7" t="inlineStr">
        <is>
          <t>3.14</t>
        </is>
      </c>
      <c r="B101" s="7" t="inlineStr">
        <is>
          <t>Quản lý nhà cung cấp sản phẩm, dịch vụ</t>
        </is>
      </c>
      <c r="C101" s="7" t="inlineStr">
        <is>
          <t>3.14.2</t>
        </is>
      </c>
      <c r="D101" s="7" t="inlineStr">
        <is>
          <t>Danh sách nhà cung cấp, theo dõi trạng thái</t>
        </is>
      </c>
      <c r="E101" s="11" t="inlineStr"/>
      <c r="F101" s="7" t="inlineStr">
        <is>
          <t>Danh sách NCC</t>
        </is>
      </c>
      <c r="G101" s="7" t="inlineStr"/>
      <c r="H101" s="11" t="inlineStr"/>
      <c r="I101" s="11" t="inlineStr"/>
    </row>
    <row r="102">
      <c r="A102" s="7" t="inlineStr">
        <is>
          <t>3.14</t>
        </is>
      </c>
      <c r="B102" s="7" t="inlineStr">
        <is>
          <t>Quản lý nhà cung cấp sản phẩm, dịch vụ</t>
        </is>
      </c>
      <c r="C102" s="7" t="inlineStr">
        <is>
          <t>3.14.2</t>
        </is>
      </c>
      <c r="D102" s="7" t="inlineStr">
        <is>
          <t>Phân loại nhà cung cấp</t>
        </is>
      </c>
      <c r="E102" s="11" t="inlineStr"/>
      <c r="F102" s="7" t="inlineStr">
        <is>
          <t>Tiêu chí phân loại</t>
        </is>
      </c>
      <c r="G102" s="7" t="inlineStr"/>
      <c r="H102" s="11" t="inlineStr"/>
      <c r="I102" s="11" t="inlineStr"/>
    </row>
    <row r="103">
      <c r="A103" s="7" t="inlineStr">
        <is>
          <t>3.14</t>
        </is>
      </c>
      <c r="B103" s="7" t="inlineStr">
        <is>
          <t>Quản lý nhà cung cấp sản phẩm, dịch vụ</t>
        </is>
      </c>
      <c r="C103" s="7" t="inlineStr">
        <is>
          <t>3.14.2</t>
        </is>
      </c>
      <c r="D103" s="7" t="inlineStr">
        <is>
          <t>Văn bản phân định phạm vi trách nhiệm giữa nhà cung cấp và tổ chức</t>
        </is>
      </c>
      <c r="E103" s="11" t="inlineStr"/>
      <c r="F103" s="7" t="inlineStr">
        <is>
          <t>Hợp đồng/SLA/ma trận RACI</t>
        </is>
      </c>
      <c r="G103" s="7" t="inlineStr"/>
      <c r="H103" s="11" t="inlineStr"/>
      <c r="I103" s="11" t="inlineStr"/>
    </row>
    <row r="104">
      <c r="A104" s="7" t="inlineStr">
        <is>
          <t>3.14</t>
        </is>
      </c>
      <c r="B104" s="7" t="inlineStr">
        <is>
          <t>Quản lý nhà cung cấp sản phẩm, dịch vụ</t>
        </is>
      </c>
      <c r="C104" s="7" t="inlineStr">
        <is>
          <t>3.14.2</t>
        </is>
      </c>
      <c r="D104" s="7" t="inlineStr">
        <is>
          <t>Cập nhật danh sách nhà cung cấp ≥ 1 lần/năm hoặc khi thay đổi</t>
        </is>
      </c>
      <c r="E104" s="11" t="inlineStr"/>
      <c r="F104" s="7" t="inlineStr">
        <is>
          <t>Ngày cập nhật</t>
        </is>
      </c>
      <c r="G104" s="7" t="inlineStr"/>
      <c r="H104" s="11" t="inlineStr"/>
      <c r="I104" s="11" t="inlineStr"/>
    </row>
    <row r="105">
      <c r="A105" s="7" t="inlineStr">
        <is>
          <t>3.15</t>
        </is>
      </c>
      <c r="B105" s="7" t="inlineStr">
        <is>
          <t>Quản trị ứng phó sự cố an ninh mạng</t>
        </is>
      </c>
      <c r="C105" s="7" t="inlineStr">
        <is>
          <t>3.15.2.1 a)</t>
        </is>
      </c>
      <c r="D105" s="7" t="inlineStr">
        <is>
          <t>Chỉ định người chủ chốt và ít nhất một người dự phòng quản lý ứng phó sự cố</t>
        </is>
      </c>
      <c r="E105" s="11" t="inlineStr"/>
      <c r="F105" s="7" t="inlineStr">
        <is>
          <t>Quyết định phân công</t>
        </is>
      </c>
      <c r="G105" s="7" t="inlineStr"/>
      <c r="H105" s="11" t="inlineStr"/>
      <c r="I105" s="11" t="inlineStr"/>
    </row>
    <row r="106">
      <c r="A106" s="7" t="inlineStr">
        <is>
          <t>3.15</t>
        </is>
      </c>
      <c r="B106" s="7" t="inlineStr">
        <is>
          <t>Quản trị ứng phó sự cố an ninh mạng</t>
        </is>
      </c>
      <c r="C106" s="7" t="inlineStr">
        <is>
          <t>3.15.2.1 b)</t>
        </is>
      </c>
      <c r="D106" s="7" t="inlineStr">
        <is>
          <t>Đầu mối tiếp nhận báo cáo sự cố; xác minh thông tin liên hệ hằng năm</t>
        </is>
      </c>
      <c r="E106" s="11" t="inlineStr"/>
      <c r="F106" s="7" t="inlineStr">
        <is>
          <t>Danh bạ có ngày xác minh</t>
        </is>
      </c>
      <c r="G106" s="7" t="inlineStr"/>
      <c r="H106" s="11" t="inlineStr"/>
      <c r="I106" s="11" t="inlineStr"/>
    </row>
    <row r="107">
      <c r="A107" s="7" t="inlineStr">
        <is>
          <t>3.15</t>
        </is>
      </c>
      <c r="B107" s="7" t="inlineStr">
        <is>
          <t>Quản trị ứng phó sự cố an ninh mạng</t>
        </is>
      </c>
      <c r="C107" s="7" t="inlineStr">
        <is>
          <t>3.15.2.1 c)</t>
        </is>
      </c>
      <c r="D107" s="7" t="inlineStr">
        <is>
          <t>Phân công vai trò, trách nhiệm từng thành viên đội ứng phó</t>
        </is>
      </c>
      <c r="E107" s="11" t="inlineStr"/>
      <c r="F107" s="7" t="inlineStr">
        <is>
          <t>Bảng RACI đội ứng phó</t>
        </is>
      </c>
      <c r="G107" s="7" t="inlineStr"/>
      <c r="H107" s="11" t="inlineStr"/>
      <c r="I107" s="11" t="inlineStr"/>
    </row>
    <row r="108">
      <c r="A108" s="7" t="inlineStr">
        <is>
          <t>3.15</t>
        </is>
      </c>
      <c r="B108" s="7" t="inlineStr">
        <is>
          <t>Quản trị ứng phó sự cố an ninh mạng</t>
        </is>
      </c>
      <c r="C108" s="7" t="inlineStr">
        <is>
          <t>3.15.2.1 d)</t>
        </is>
      </c>
      <c r="D108" s="7" t="inlineStr">
        <is>
          <t>Quy định trách nhiệm phối hợp của các phòng ban với đội ứng phó</t>
        </is>
      </c>
      <c r="E108" s="11" t="inlineStr"/>
      <c r="F108" s="7" t="inlineStr">
        <is>
          <t>Quy chế phối hợp</t>
        </is>
      </c>
      <c r="G108" s="7" t="inlineStr"/>
      <c r="H108" s="11" t="inlineStr"/>
      <c r="I108" s="11" t="inlineStr"/>
    </row>
    <row r="109">
      <c r="A109" s="7" t="inlineStr">
        <is>
          <t>3.15</t>
        </is>
      </c>
      <c r="B109" s="7" t="inlineStr">
        <is>
          <t>Quản trị ứng phó sự cố an ninh mạng</t>
        </is>
      </c>
      <c r="C109" s="7" t="inlineStr">
        <is>
          <t>3.15.2.2 a)</t>
        </is>
      </c>
      <c r="D109" s="7" t="inlineStr">
        <is>
          <t>Quy trình báo cáo sự cố nội bộ</t>
        </is>
      </c>
      <c r="E109" s="11" t="inlineStr"/>
      <c r="F109" s="7" t="inlineStr">
        <is>
          <t>Quy trình, mẫu báo cáo</t>
        </is>
      </c>
      <c r="G109" s="7" t="inlineStr"/>
      <c r="H109" s="11" t="inlineStr"/>
      <c r="I109" s="11" t="inlineStr"/>
    </row>
    <row r="110">
      <c r="A110" s="7" t="inlineStr">
        <is>
          <t>3.15</t>
        </is>
      </c>
      <c r="B110" s="7" t="inlineStr">
        <is>
          <t>Quản trị ứng phó sự cố an ninh mạng</t>
        </is>
      </c>
      <c r="C110" s="7" t="inlineStr">
        <is>
          <t>3.15.2.2 b)</t>
        </is>
      </c>
      <c r="D110" s="7" t="inlineStr">
        <is>
          <t>Phân nhóm sự cố ANM</t>
        </is>
      </c>
      <c r="E110" s="11" t="inlineStr"/>
      <c r="F110" s="7" t="inlineStr">
        <is>
          <t>Bảng phân loại sự cố</t>
        </is>
      </c>
      <c r="G110" s="7" t="inlineStr"/>
      <c r="H110" s="11" t="inlineStr"/>
      <c r="I110" s="11" t="inlineStr"/>
    </row>
    <row r="111">
      <c r="A111" s="7" t="inlineStr">
        <is>
          <t>3.15</t>
        </is>
      </c>
      <c r="B111" s="7" t="inlineStr">
        <is>
          <t>Quản trị ứng phó sự cố an ninh mạng</t>
        </is>
      </c>
      <c r="C111" s="7" t="inlineStr">
        <is>
          <t>3.15.2.2 c)</t>
        </is>
      </c>
      <c r="D111" s="7" t="inlineStr">
        <is>
          <t>Cập nhật quy trình báo cáo ≥ 1 lần/năm hoặc khi thay đổi</t>
        </is>
      </c>
      <c r="E111" s="11" t="inlineStr"/>
      <c r="F111" s="7" t="inlineStr">
        <is>
          <t>Lịch sử phiên bản</t>
        </is>
      </c>
      <c r="G111" s="7" t="inlineStr"/>
      <c r="H111" s="11" t="inlineStr"/>
      <c r="I111" s="11" t="inlineStr"/>
    </row>
    <row r="112">
      <c r="A112" s="7" t="inlineStr">
        <is>
          <t>3.15</t>
        </is>
      </c>
      <c r="B112" s="7" t="inlineStr">
        <is>
          <t>Quản trị ứng phó sự cố an ninh mạng</t>
        </is>
      </c>
      <c r="C112" s="7" t="inlineStr">
        <is>
          <t>3.15.2.3 a)</t>
        </is>
      </c>
      <c r="D112" s="7" t="inlineStr">
        <is>
          <t>Quy trình ứng phó có cơ chế phối hợp với cơ quan chức năng, chuyên gia, nhà cung cấp dịch vụ</t>
        </is>
      </c>
      <c r="E112" s="11" t="inlineStr"/>
      <c r="F112" s="7" t="inlineStr">
        <is>
          <t>Quy trình ứng phó</t>
        </is>
      </c>
      <c r="G112" s="7" t="inlineStr"/>
      <c r="H112" s="11" t="inlineStr"/>
      <c r="I112" s="11" t="inlineStr"/>
    </row>
    <row r="113">
      <c r="A113" s="7" t="inlineStr">
        <is>
          <t>3.15</t>
        </is>
      </c>
      <c r="B113" s="7" t="inlineStr">
        <is>
          <t>Quản trị ứng phó sự cố an ninh mạng</t>
        </is>
      </c>
      <c r="C113" s="7" t="inlineStr">
        <is>
          <t>3.15.2.3 b)</t>
        </is>
      </c>
      <c r="D113" s="7" t="inlineStr">
        <is>
          <t>Cập nhật quy trình ứng phó ≥ 1 lần/năm hoặc khi thay đổi</t>
        </is>
      </c>
      <c r="E113" s="11" t="inlineStr"/>
      <c r="F113" s="7" t="inlineStr">
        <is>
          <t>Lịch sử phiên bản</t>
        </is>
      </c>
      <c r="G113" s="7" t="inlineStr"/>
      <c r="H113" s="11" t="inlineStr"/>
      <c r="I113" s="11" t="inlineStr"/>
    </row>
  </sheetData>
  <autoFilter ref="A4:I113"/>
  <conditionalFormatting sqref="E5:E113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13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2 (TCVN 14423:2026 mục 4)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4.1</t>
        </is>
      </c>
      <c r="B5" s="7" t="inlineStr">
        <is>
          <t>Quản lý rủi ro an ninh mạng</t>
        </is>
      </c>
      <c r="C5" s="7" t="inlineStr">
        <is>
          <t>4.1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4.1</t>
        </is>
      </c>
      <c r="B6" s="7" t="inlineStr">
        <is>
          <t>Quản lý rủi ro an ninh mạng</t>
        </is>
      </c>
      <c r="C6" s="7" t="inlineStr">
        <is>
          <t>4.1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4.2</t>
        </is>
      </c>
      <c r="B7" s="7" t="inlineStr">
        <is>
          <t>Quản lý tài sản phần cứng</t>
        </is>
      </c>
      <c r="C7" s="7" t="inlineStr">
        <is>
          <t>4.2.1 a)</t>
        </is>
      </c>
      <c r="D7" s="7" t="inlineStr">
        <is>
          <t>Danh mục toàn bộ phần cứng của HTTT, kể cả thiết bị bên ngoài có kết nối vào; xác định tài sản cần giám sát</t>
        </is>
      </c>
      <c r="E7" s="11" t="inlineStr"/>
      <c r="F7" s="7" t="inlineStr">
        <is>
          <t>Danh mục tài sản phần cứng</t>
        </is>
      </c>
      <c r="G7" s="7" t="inlineStr"/>
      <c r="H7" s="11" t="inlineStr"/>
      <c r="I7" s="11" t="inlineStr"/>
    </row>
    <row r="8">
      <c r="A8" s="7" t="inlineStr">
        <is>
          <t>4.2</t>
        </is>
      </c>
      <c r="B8" s="7" t="inlineStr">
        <is>
          <t>Quản lý tài sản phần cứng</t>
        </is>
      </c>
      <c r="C8" s="7" t="inlineStr">
        <is>
          <t>4.2.1 b)</t>
        </is>
      </c>
      <c r="D8" s="7" t="inlineStr">
        <is>
          <t>Phát hiện tài sản vô chủ/trái phép để loại bỏ hoặc đưa vào quản lý</t>
        </is>
      </c>
      <c r="E8" s="11" t="inlineStr"/>
      <c r="F8" s="7" t="inlineStr">
        <is>
          <t>Báo cáo rà soát tài sản</t>
        </is>
      </c>
      <c r="G8" s="7" t="inlineStr"/>
      <c r="H8" s="11" t="inlineStr"/>
      <c r="I8" s="11" t="inlineStr"/>
    </row>
    <row r="9">
      <c r="A9" s="7" t="inlineStr">
        <is>
          <t>4.2</t>
        </is>
      </c>
      <c r="B9" s="7" t="inlineStr">
        <is>
          <t>Quản lý tài sản phần cứng</t>
        </is>
      </c>
      <c r="C9" s="7" t="inlineStr">
        <is>
          <t>4.2.1 c)</t>
        </is>
      </c>
      <c r="D9" s="7" t="inlineStr">
        <is>
          <t>Kiểm kê, cập nhật danh mục tài sản ≥ 1 lần/năm</t>
        </is>
      </c>
      <c r="E9" s="11" t="inlineStr"/>
      <c r="F9" s="7" t="inlineStr">
        <is>
          <t>Biên bản kiểm kê</t>
        </is>
      </c>
      <c r="G9" s="7" t="inlineStr">
        <is>
          <t>Mới/khác so với cấp 1</t>
        </is>
      </c>
      <c r="H9" s="11" t="inlineStr"/>
      <c r="I9" s="11" t="inlineStr"/>
    </row>
    <row r="10">
      <c r="A10" s="7" t="inlineStr">
        <is>
          <t>4.2</t>
        </is>
      </c>
      <c r="B10" s="7" t="inlineStr">
        <is>
          <t>Quản lý tài sản phần cứng</t>
        </is>
      </c>
      <c r="C10" s="7" t="inlineStr">
        <is>
          <t>4.2.2.1 a)</t>
        </is>
      </c>
      <c r="D10" s="7" t="inlineStr">
        <is>
          <t>Danh mục phủ mọi thiết bị lưu trữ/xử lý dữ liệu: đầu cuối, di động, lưu trữ ngoài, văn phòng, mạng, OT/IoT, máy chủ vật lý/ảo/cloud</t>
        </is>
      </c>
      <c r="E10" s="11" t="inlineStr"/>
      <c r="F10" s="7" t="inlineStr">
        <is>
          <t>Danh mục tài sản (CMDB/bảng tính)</t>
        </is>
      </c>
      <c r="G10" s="7" t="inlineStr"/>
      <c r="H10" s="11" t="inlineStr"/>
      <c r="I10" s="11" t="inlineStr"/>
    </row>
    <row r="11">
      <c r="A11" s="7" t="inlineStr">
        <is>
          <t>4.2</t>
        </is>
      </c>
      <c r="B11" s="7" t="inlineStr">
        <is>
          <t>Quản lý tài sản phần cứng</t>
        </is>
      </c>
      <c r="C11" s="7" t="inlineStr">
        <is>
          <t>4.2.2.1 b)</t>
        </is>
      </c>
      <c r="D11" s="7" t="inlineStr">
        <is>
          <t>Trường tối thiểu: tên, IP tĩnh, MAC/serial, hạn hỗ trợ của hãng, vị trí địa lý và trong mạng, mục đích, tình trạng; gán người chịu trách nhiệm</t>
        </is>
      </c>
      <c r="E11" s="11" t="inlineStr"/>
      <c r="F11" s="7" t="inlineStr">
        <is>
          <t>Danh mục có đủ trường, cột người phụ trách</t>
        </is>
      </c>
      <c r="G11" s="7" t="inlineStr"/>
      <c r="H11" s="11" t="inlineStr"/>
      <c r="I11" s="11" t="inlineStr"/>
    </row>
    <row r="12">
      <c r="A12" s="7" t="inlineStr">
        <is>
          <t>4.2</t>
        </is>
      </c>
      <c r="B12" s="7" t="inlineStr">
        <is>
          <t>Quản lý tài sản phần cứng</t>
        </is>
      </c>
      <c r="C12" s="7" t="inlineStr">
        <is>
          <t>4.2.2.1 c)</t>
        </is>
      </c>
      <c r="D12" s="7" t="inlineStr">
        <is>
          <t>Đăng ký thiết bị di động được phép kết nối; quy định trách nhiệm cá nhân khi dùng cho công việc</t>
        </is>
      </c>
      <c r="E12" s="11" t="inlineStr"/>
      <c r="F12" s="7" t="inlineStr">
        <is>
          <t>Sổ đăng ký thiết bị di động, quy định sử dụng</t>
        </is>
      </c>
      <c r="G12" s="7" t="inlineStr"/>
      <c r="H12" s="11" t="inlineStr"/>
      <c r="I12" s="11" t="inlineStr"/>
    </row>
    <row r="13">
      <c r="A13" s="7" t="inlineStr">
        <is>
          <t>4.2</t>
        </is>
      </c>
      <c r="B13" s="7" t="inlineStr">
        <is>
          <t>Quản lý tài sản phần cứng</t>
        </is>
      </c>
      <c r="C13" s="7" t="inlineStr">
        <is>
          <t>4.2.2.2 a)</t>
        </is>
      </c>
      <c r="D13" s="7" t="inlineStr">
        <is>
          <t>Quy trình phát hiện, xử lý thiết bị lạ kết nối trái phép, thực hiện ≥ 1 lần/năm</t>
        </is>
      </c>
      <c r="E13" s="11" t="inlineStr"/>
      <c r="F13" s="7" t="inlineStr">
        <is>
          <t>Quy trình + kết quả các lần rà soát</t>
        </is>
      </c>
      <c r="G13" s="7" t="inlineStr"/>
      <c r="H13" s="11" t="inlineStr"/>
      <c r="I13" s="11" t="inlineStr"/>
    </row>
    <row r="14">
      <c r="A14" s="7" t="inlineStr">
        <is>
          <t>4.2</t>
        </is>
      </c>
      <c r="B14" s="7" t="inlineStr">
        <is>
          <t>Quản lý tài sản phần cứng</t>
        </is>
      </c>
      <c r="C14" s="7" t="inlineStr">
        <is>
          <t>4.2.2.2 b)</t>
        </is>
      </c>
      <c r="D14" s="7" t="inlineStr">
        <is>
          <t>Xử lý thiết bị trái phép bằng cách gỡ bỏ, từ chối kết nối hoặc cách ly</t>
        </is>
      </c>
      <c r="E14" s="11" t="inlineStr"/>
      <c r="F14" s="7" t="inlineStr">
        <is>
          <t>Nhật ký xử lý</t>
        </is>
      </c>
      <c r="G14" s="7" t="inlineStr"/>
      <c r="H14" s="11" t="inlineStr"/>
      <c r="I14" s="11" t="inlineStr"/>
    </row>
    <row r="15">
      <c r="A15" s="7" t="inlineStr">
        <is>
          <t>4.2</t>
        </is>
      </c>
      <c r="B15" s="7" t="inlineStr">
        <is>
          <t>Quản lý tài sản phần cứng</t>
        </is>
      </c>
      <c r="C15" s="7" t="inlineStr">
        <is>
          <t>4.2.2.3</t>
        </is>
      </c>
      <c r="D15" s="7" t="inlineStr">
        <is>
          <t>Có phương án xóa sạch dữ liệu khi chuyển giao hoặc đổi mục đích sử dụng phần cứng</t>
        </is>
      </c>
      <c r="E15" s="11" t="inlineStr"/>
      <c r="F15" s="7" t="inlineStr">
        <is>
          <t>Quy trình xóa dữ liệu, biên bản xóa</t>
        </is>
      </c>
      <c r="G15" s="7" t="inlineStr">
        <is>
          <t>Mới/khác so với cấp 1</t>
        </is>
      </c>
      <c r="H15" s="11" t="inlineStr"/>
      <c r="I15" s="11" t="inlineStr"/>
    </row>
    <row r="16">
      <c r="A16" s="7" t="inlineStr">
        <is>
          <t>4.3</t>
        </is>
      </c>
      <c r="B16" s="7" t="inlineStr">
        <is>
          <t>Quản lý tài sản phần mềm</t>
        </is>
      </c>
      <c r="C16" s="7" t="inlineStr">
        <is>
          <t>4.3.1 a)</t>
        </is>
      </c>
      <c r="D16" s="7" t="inlineStr">
        <is>
          <t>Quản lý danh mục phần mềm; chỉ phần mềm đã phê duyệt mới được cài và dùng</t>
        </is>
      </c>
      <c r="E16" s="11" t="inlineStr"/>
      <c r="F16" s="7" t="inlineStr">
        <is>
          <t>Danh mục phần mềm, quy trình phê duyệt</t>
        </is>
      </c>
      <c r="G16" s="7" t="inlineStr"/>
      <c r="H16" s="11" t="inlineStr"/>
      <c r="I16" s="11" t="inlineStr"/>
    </row>
    <row r="17">
      <c r="A17" s="7" t="inlineStr">
        <is>
          <t>4.3</t>
        </is>
      </c>
      <c r="B17" s="7" t="inlineStr">
        <is>
          <t>Quản lý tài sản phần mềm</t>
        </is>
      </c>
      <c r="C17" s="7" t="inlineStr">
        <is>
          <t>4.3.1 b)</t>
        </is>
      </c>
      <c r="D17" s="7" t="inlineStr">
        <is>
          <t>Kiểm kê, cập nhật danh mục phần mềm ≥ 1 lần/năm</t>
        </is>
      </c>
      <c r="E17" s="11" t="inlineStr"/>
      <c r="F17" s="7" t="inlineStr">
        <is>
          <t>Biên bản kiểm kê phần mềm</t>
        </is>
      </c>
      <c r="G17" s="7" t="inlineStr"/>
      <c r="H17" s="11" t="inlineStr"/>
      <c r="I17" s="11" t="inlineStr"/>
    </row>
    <row r="18">
      <c r="A18" s="7" t="inlineStr">
        <is>
          <t>4.3</t>
        </is>
      </c>
      <c r="B18" s="7" t="inlineStr">
        <is>
          <t>Quản lý tài sản phần mềm</t>
        </is>
      </c>
      <c r="C18" s="7" t="inlineStr">
        <is>
          <t>4.3.2.1 a)</t>
        </is>
      </c>
      <c r="D18" s="7" t="inlineStr">
        <is>
          <t>Lập danh mục phần mềm đang cài trên các thiết bị thuộc HTTT</t>
        </is>
      </c>
      <c r="E18" s="11" t="inlineStr"/>
      <c r="F18" s="7" t="inlineStr">
        <is>
          <t>Danh mục phần mềm (xuất từ công cụ inventory)</t>
        </is>
      </c>
      <c r="G18" s="7" t="inlineStr"/>
      <c r="H18" s="11" t="inlineStr"/>
      <c r="I18" s="11" t="inlineStr"/>
    </row>
    <row r="19">
      <c r="A19" s="7" t="inlineStr">
        <is>
          <t>4.3</t>
        </is>
      </c>
      <c r="B19" s="7" t="inlineStr">
        <is>
          <t>Quản lý tài sản phần mềm</t>
        </is>
      </c>
      <c r="C19" s="7" t="inlineStr">
        <is>
          <t>4.3.2.1 b)</t>
        </is>
      </c>
      <c r="D19" s="7" t="inlineStr">
        <is>
          <t>Trường tối thiểu: tên, mục đích, hạn hỗ trợ, phạm vi, chủ quản, bản quyền, phiên bản, hệ thống thành phần; gán trách nhiệm</t>
        </is>
      </c>
      <c r="E19" s="11" t="inlineStr"/>
      <c r="F19" s="7" t="inlineStr">
        <is>
          <t>Danh mục có đủ trường</t>
        </is>
      </c>
      <c r="G19" s="7" t="inlineStr"/>
      <c r="H19" s="11" t="inlineStr"/>
      <c r="I19" s="11" t="inlineStr"/>
    </row>
    <row r="20">
      <c r="A20" s="7" t="inlineStr">
        <is>
          <t>4.3</t>
        </is>
      </c>
      <c r="B20" s="7" t="inlineStr">
        <is>
          <t>Quản lý tài sản phần mềm</t>
        </is>
      </c>
      <c r="C20" s="7" t="inlineStr">
        <is>
          <t>4.3.2.2 a)</t>
        </is>
      </c>
      <c r="D20" s="7" t="inlineStr">
        <is>
          <t>Quy trình phát hiện, xử lý phần mềm trái phép ≥ 1 lần/năm</t>
        </is>
      </c>
      <c r="E20" s="11" t="inlineStr"/>
      <c r="F20" s="7" t="inlineStr">
        <is>
          <t>Quy trình + kết quả rà soát</t>
        </is>
      </c>
      <c r="G20" s="7" t="inlineStr"/>
      <c r="H20" s="11" t="inlineStr"/>
      <c r="I20" s="11" t="inlineStr"/>
    </row>
    <row r="21">
      <c r="A21" s="7" t="inlineStr">
        <is>
          <t>4.3</t>
        </is>
      </c>
      <c r="B21" s="7" t="inlineStr">
        <is>
          <t>Quản lý tài sản phần mềm</t>
        </is>
      </c>
      <c r="C21" s="7" t="inlineStr">
        <is>
          <t>4.3.2.2 b)</t>
        </is>
      </c>
      <c r="D21" s="7" t="inlineStr">
        <is>
          <t>Phần mềm trái phép nhưng cần thiết đưa vào danh sách ngoại lệ, kèm biện pháp giảm thiểu</t>
        </is>
      </c>
      <c r="E21" s="11" t="inlineStr"/>
      <c r="F21" s="7" t="inlineStr">
        <is>
          <t>Danh sách ngoại lệ có biện pháp kiểm soát</t>
        </is>
      </c>
      <c r="G21" s="7" t="inlineStr"/>
      <c r="H21" s="11" t="inlineStr"/>
      <c r="I21" s="11" t="inlineStr"/>
    </row>
    <row r="22">
      <c r="A22" s="7" t="inlineStr">
        <is>
          <t>4.3</t>
        </is>
      </c>
      <c r="B22" s="7" t="inlineStr">
        <is>
          <t>Quản lý tài sản phần mềm</t>
        </is>
      </c>
      <c r="C22" s="7" t="inlineStr">
        <is>
          <t>4.3.2.2 c)</t>
        </is>
      </c>
      <c r="D22" s="7" t="inlineStr">
        <is>
          <t>Lập kế hoạch gỡ sớm phần mềm trái phép ngoài danh sách ngoại lệ</t>
        </is>
      </c>
      <c r="E22" s="11" t="inlineStr"/>
      <c r="F22" s="7" t="inlineStr">
        <is>
          <t>Kế hoạch gỡ bỏ, bằng chứng đã gỡ</t>
        </is>
      </c>
      <c r="G22" s="7" t="inlineStr"/>
      <c r="H22" s="11" t="inlineStr"/>
      <c r="I22" s="11" t="inlineStr"/>
    </row>
    <row r="23">
      <c r="A23" s="7" t="inlineStr">
        <is>
          <t>4.3</t>
        </is>
      </c>
      <c r="B23" s="7" t="inlineStr">
        <is>
          <t>Quản lý tài sản phần mềm</t>
        </is>
      </c>
      <c r="C23" s="7" t="inlineStr">
        <is>
          <t>4.3.2.3 a)</t>
        </is>
      </c>
      <c r="D23" s="7" t="inlineStr">
        <is>
          <t>Phần mềm thuê khoán: có hợp đồng, cam kết bảo mật với bên phát triển</t>
        </is>
      </c>
      <c r="E23" s="11" t="inlineStr"/>
      <c r="F23" s="7" t="inlineStr">
        <is>
          <t>Hợp đồng, NDA</t>
        </is>
      </c>
      <c r="G23" s="7" t="inlineStr">
        <is>
          <t>Mới/khác so với cấp 1</t>
        </is>
      </c>
      <c r="H23" s="11" t="inlineStr"/>
      <c r="I23" s="11" t="inlineStr"/>
    </row>
    <row r="24">
      <c r="A24" s="7" t="inlineStr">
        <is>
          <t>4.3</t>
        </is>
      </c>
      <c r="B24" s="7" t="inlineStr">
        <is>
          <t>Quản lý tài sản phần mềm</t>
        </is>
      </c>
      <c r="C24" s="7" t="inlineStr">
        <is>
          <t>4.3.2.3 b)</t>
        </is>
      </c>
      <c r="D24" s="7" t="inlineStr">
        <is>
          <t>Yêu cầu bàn giao mã nguồn; nếu không được thì có chứng chỉ đánh giá độc lập hoặc kiểm thử xâm nhập + cam kết trách nhiệm pháp lý</t>
        </is>
      </c>
      <c r="E24" s="11" t="inlineStr"/>
      <c r="F24" s="7" t="inlineStr">
        <is>
          <t>Biên bản bàn giao mã nguồn/chứng chỉ/cam kết</t>
        </is>
      </c>
      <c r="G24" s="7" t="inlineStr">
        <is>
          <t>Mới/khác so với cấp 1</t>
        </is>
      </c>
      <c r="H24" s="11" t="inlineStr"/>
      <c r="I24" s="11" t="inlineStr"/>
    </row>
    <row r="25">
      <c r="A25" s="7" t="inlineStr">
        <is>
          <t>4.4</t>
        </is>
      </c>
      <c r="B25" s="7" t="inlineStr">
        <is>
          <t>Quản lý tài sản thông tin</t>
        </is>
      </c>
      <c r="C25" s="7" t="inlineStr">
        <is>
          <t>4.4.2.1 a)</t>
        </is>
      </c>
      <c r="D25" s="7" t="inlineStr">
        <is>
          <t>Quy định quản lý tài sản thông tin: danh mục, mức nhạy cảm, chủ sở hữu, cách xử lý, thời hạn lưu, yêu cầu tiêu hủy</t>
        </is>
      </c>
      <c r="E25" s="11" t="inlineStr"/>
      <c r="F25" s="7" t="inlineStr">
        <is>
          <t>Quy định quản lý tài sản thông tin</t>
        </is>
      </c>
      <c r="G25" s="7" t="inlineStr"/>
      <c r="H25" s="11" t="inlineStr"/>
      <c r="I25" s="11" t="inlineStr"/>
    </row>
    <row r="26">
      <c r="A26" s="7" t="inlineStr">
        <is>
          <t>4.4</t>
        </is>
      </c>
      <c r="B26" s="7" t="inlineStr">
        <is>
          <t>Quản lý tài sản thông tin</t>
        </is>
      </c>
      <c r="C26" s="7" t="inlineStr">
        <is>
          <t>4.4.2.1 b)</t>
        </is>
      </c>
      <c r="D26" s="7" t="inlineStr">
        <is>
          <t>Phân loại mức nhạy cảm (gợi ý 3 mức: công khai, nội bộ, hạn chế truy cập)</t>
        </is>
      </c>
      <c r="E26" s="11" t="inlineStr"/>
      <c r="F26" s="7" t="inlineStr">
        <is>
          <t>Bảng phân loại, nhãn dữ liệu</t>
        </is>
      </c>
      <c r="G26" s="7" t="inlineStr">
        <is>
          <t>Mới/khác so với cấp 1</t>
        </is>
      </c>
      <c r="H26" s="11" t="inlineStr"/>
      <c r="I26" s="11" t="inlineStr"/>
    </row>
    <row r="27">
      <c r="A27" s="7" t="inlineStr">
        <is>
          <t>4.4</t>
        </is>
      </c>
      <c r="B27" s="7" t="inlineStr">
        <is>
          <t>Quản lý tài sản thông tin</t>
        </is>
      </c>
      <c r="C27" s="7" t="inlineStr">
        <is>
          <t>4.4.2.1 c)</t>
        </is>
      </c>
      <c r="D27" s="7" t="inlineStr">
        <is>
          <t>Quy trình yêu cầu truy cập, thêm, sửa, xóa dữ liệu</t>
        </is>
      </c>
      <c r="E27" s="11" t="inlineStr"/>
      <c r="F27" s="7" t="inlineStr">
        <is>
          <t>Quy trình + phiếu yêu cầu</t>
        </is>
      </c>
      <c r="G27" s="7" t="inlineStr"/>
      <c r="H27" s="11" t="inlineStr"/>
      <c r="I27" s="11" t="inlineStr"/>
    </row>
    <row r="28">
      <c r="A28" s="7" t="inlineStr">
        <is>
          <t>4.4</t>
        </is>
      </c>
      <c r="B28" s="7" t="inlineStr">
        <is>
          <t>Quản lý tài sản thông tin</t>
        </is>
      </c>
      <c r="C28" s="7" t="inlineStr">
        <is>
          <t>4.4.2.1 d)</t>
        </is>
      </c>
      <c r="D28" s="7" t="inlineStr">
        <is>
          <t>Kiểm tra phân quyền dữ liệu ≥ 1 lần/năm</t>
        </is>
      </c>
      <c r="E28" s="11" t="inlineStr"/>
      <c r="F28" s="7" t="inlineStr">
        <is>
          <t>Biên bản rà soát phân quyền</t>
        </is>
      </c>
      <c r="G28" s="7" t="inlineStr"/>
      <c r="H28" s="11" t="inlineStr"/>
      <c r="I28" s="11" t="inlineStr"/>
    </row>
    <row r="29">
      <c r="A29" s="7" t="inlineStr">
        <is>
          <t>4.4</t>
        </is>
      </c>
      <c r="B29" s="7" t="inlineStr">
        <is>
          <t>Quản lý tài sản thông tin</t>
        </is>
      </c>
      <c r="C29" s="7" t="inlineStr">
        <is>
          <t>4.4.2.1 e)</t>
        </is>
      </c>
      <c r="D29" s="7" t="inlineStr">
        <is>
          <t>Rà soát quy trình quản lý tài sản thông tin ≥ 1 lần/năm hoặc khi thay đổi</t>
        </is>
      </c>
      <c r="E29" s="11" t="inlineStr"/>
      <c r="F29" s="7" t="inlineStr">
        <is>
          <t>Lịch sử phiên bản quy trình</t>
        </is>
      </c>
      <c r="G29" s="7" t="inlineStr"/>
      <c r="H29" s="11" t="inlineStr"/>
      <c r="I29" s="11" t="inlineStr"/>
    </row>
    <row r="30">
      <c r="A30" s="7" t="inlineStr">
        <is>
          <t>4.4</t>
        </is>
      </c>
      <c r="B30" s="7" t="inlineStr">
        <is>
          <t>Quản lý tài sản thông tin</t>
        </is>
      </c>
      <c r="C30" s="7" t="inlineStr">
        <is>
          <t>4.4.2.2 a)</t>
        </is>
      </c>
      <c r="D30" s="7" t="inlineStr">
        <is>
          <t>Lập danh mục tài sản thông tin theo quy trình đã ban hành</t>
        </is>
      </c>
      <c r="E30" s="11" t="inlineStr"/>
      <c r="F30" s="7" t="inlineStr">
        <is>
          <t>Danh mục tài sản thông tin</t>
        </is>
      </c>
      <c r="G30" s="7" t="inlineStr"/>
      <c r="H30" s="11" t="inlineStr"/>
      <c r="I30" s="11" t="inlineStr"/>
    </row>
    <row r="31">
      <c r="A31" s="7" t="inlineStr">
        <is>
          <t>4.4</t>
        </is>
      </c>
      <c r="B31" s="7" t="inlineStr">
        <is>
          <t>Quản lý tài sản thông tin</t>
        </is>
      </c>
      <c r="C31" s="7" t="inlineStr">
        <is>
          <t>4.4.2.2 b)</t>
        </is>
      </c>
      <c r="D31" s="7" t="inlineStr">
        <is>
          <t>Cập nhật danh mục tài sản thông tin ≥ 1 lần/năm hoặc khi thay đổi</t>
        </is>
      </c>
      <c r="E31" s="11" t="inlineStr"/>
      <c r="F31" s="7" t="inlineStr">
        <is>
          <t>Ngày cập nhật danh mục</t>
        </is>
      </c>
      <c r="G31" s="7" t="inlineStr"/>
      <c r="H31" s="11" t="inlineStr"/>
      <c r="I31" s="11" t="inlineStr"/>
    </row>
    <row r="32">
      <c r="A32" s="7" t="inlineStr">
        <is>
          <t>4.4</t>
        </is>
      </c>
      <c r="B32" s="7" t="inlineStr">
        <is>
          <t>Quản lý tài sản thông tin</t>
        </is>
      </c>
      <c r="C32" s="7" t="inlineStr">
        <is>
          <t>4.4.2.3</t>
        </is>
      </c>
      <c r="D32" s="7" t="inlineStr">
        <is>
          <t>Ma trận quyền truy cập của từng tài khoản/người dùng với từng loại tài sản thông tin</t>
        </is>
      </c>
      <c r="E32" s="11" t="inlineStr"/>
      <c r="F32" s="7" t="inlineStr">
        <is>
          <t>Ma trận phân quyền (ACL)</t>
        </is>
      </c>
      <c r="G32" s="7" t="inlineStr"/>
      <c r="H32" s="11" t="inlineStr"/>
      <c r="I32" s="11" t="inlineStr"/>
    </row>
    <row r="33">
      <c r="A33" s="7" t="inlineStr">
        <is>
          <t>4.4</t>
        </is>
      </c>
      <c r="B33" s="7" t="inlineStr">
        <is>
          <t>Quản lý tài sản thông tin</t>
        </is>
      </c>
      <c r="C33" s="7" t="inlineStr">
        <is>
          <t>4.4.2.4</t>
        </is>
      </c>
      <c r="D33" s="7" t="inlineStr">
        <is>
          <t>Mã hóa thông tin xác thực và dữ liệu không công khai khi lưu (hệ thống truy xuất lớn được dùng biện pháp tương đương)</t>
        </is>
      </c>
      <c r="E33" s="11" t="inlineStr"/>
      <c r="F33" s="7" t="inlineStr">
        <is>
          <t>Cấu hình mã hóa (DB/đĩa/hash mật khẩu)</t>
        </is>
      </c>
      <c r="G33" s="7" t="inlineStr">
        <is>
          <t>Mới/khác so với cấp 1</t>
        </is>
      </c>
      <c r="H33" s="11" t="inlineStr"/>
      <c r="I33" s="11" t="inlineStr"/>
    </row>
    <row r="34">
      <c r="A34" s="7" t="inlineStr">
        <is>
          <t>4.5</t>
        </is>
      </c>
      <c r="B34" s="7" t="inlineStr">
        <is>
          <t>Cấu hình an toàn phần cứng, phần mềm</t>
        </is>
      </c>
      <c r="C34" s="7" t="inlineStr">
        <is>
          <t>4.5.2.1 a)</t>
        </is>
      </c>
      <c r="D34" s="7" t="inlineStr">
        <is>
          <t>Ban hành quy định/quy trình cấu hình an toàn cho phần cứng và phần mềm</t>
        </is>
      </c>
      <c r="E34" s="11" t="inlineStr"/>
      <c r="F34" s="7" t="inlineStr">
        <is>
          <t>Quy trình cấu hình an toàn</t>
        </is>
      </c>
      <c r="G34" s="7" t="inlineStr"/>
      <c r="H34" s="11" t="inlineStr"/>
      <c r="I34" s="11" t="inlineStr"/>
    </row>
    <row r="35">
      <c r="A35" s="7" t="inlineStr">
        <is>
          <t>4.5</t>
        </is>
      </c>
      <c r="B35" s="7" t="inlineStr">
        <is>
          <t>Cấu hình an toàn phần cứng, phần mềm</t>
        </is>
      </c>
      <c r="C35" s="7" t="inlineStr">
        <is>
          <t>4.5.2.1 b)</t>
        </is>
      </c>
      <c r="D35" s="7" t="inlineStr">
        <is>
          <t>Có tài liệu cấu hình chuẩn/hardening; giao thức an toàn; tường lửa host; chống tự động đăng nhập trên tài sản xử lý dữ liệu quan trọng</t>
        </is>
      </c>
      <c r="E35" s="11" t="inlineStr"/>
      <c r="F35" s="7" t="inlineStr">
        <is>
          <t>Baseline cấu hình (vd theo CIS), ảnh chụp cấu hình</t>
        </is>
      </c>
      <c r="G35" s="7" t="inlineStr">
        <is>
          <t>Mới/khác so với cấp 1</t>
        </is>
      </c>
      <c r="H35" s="11" t="inlineStr"/>
      <c r="I35" s="11" t="inlineStr"/>
    </row>
    <row r="36">
      <c r="A36" s="7" t="inlineStr">
        <is>
          <t>4.5</t>
        </is>
      </c>
      <c r="B36" s="7" t="inlineStr">
        <is>
          <t>Cấu hình an toàn phần cứng, phần mềm</t>
        </is>
      </c>
      <c r="C36" s="7" t="inlineStr">
        <is>
          <t>4.5.2.1 c)</t>
        </is>
      </c>
      <c r="D36" s="7" t="inlineStr">
        <is>
          <t>Tắt giao thức mạng không an toàn và dịch vụ không dùng</t>
        </is>
      </c>
      <c r="E36" s="11" t="inlineStr"/>
      <c r="F36" s="7" t="inlineStr">
        <is>
          <t>Kết quả quét cổng/dịch vụ</t>
        </is>
      </c>
      <c r="G36" s="7" t="inlineStr">
        <is>
          <t>Mới/khác so với cấp 1</t>
        </is>
      </c>
      <c r="H36" s="11" t="inlineStr"/>
      <c r="I36" s="11" t="inlineStr"/>
    </row>
    <row r="37">
      <c r="A37" s="7" t="inlineStr">
        <is>
          <t>4.5</t>
        </is>
      </c>
      <c r="B37" s="7" t="inlineStr">
        <is>
          <t>Cấu hình an toàn phần cứng, phần mềm</t>
        </is>
      </c>
      <c r="C37" s="7" t="inlineStr">
        <is>
          <t>4.5.2.1 d)</t>
        </is>
      </c>
      <c r="D37" s="7" t="inlineStr">
        <is>
          <t>Rà soát quy định và tài liệu cấu hình ≥ 1 lần/năm hoặc khi thay đổi</t>
        </is>
      </c>
      <c r="E37" s="11" t="inlineStr"/>
      <c r="F37" s="7" t="inlineStr">
        <is>
          <t>Lịch sử phiên bản</t>
        </is>
      </c>
      <c r="G37" s="7" t="inlineStr"/>
      <c r="H37" s="11" t="inlineStr"/>
      <c r="I37" s="11" t="inlineStr"/>
    </row>
    <row r="38">
      <c r="A38" s="7" t="inlineStr">
        <is>
          <t>4.5</t>
        </is>
      </c>
      <c r="B38" s="7" t="inlineStr">
        <is>
          <t>Cấu hình an toàn phần cứng, phần mềm</t>
        </is>
      </c>
      <c r="C38" s="7" t="inlineStr">
        <is>
          <t>4.5.2.2 a)</t>
        </is>
      </c>
      <c r="D38" s="7" t="inlineStr">
        <is>
          <t>Tự khóa phiên theo đánh giá rủi ro — gợi ý: máy người dùng ≤ 15'; phiên quản trị, di động ≤ 5'; phần mềm nghiệp vụ dữ liệu quan trọng ≤ 15'</t>
        </is>
      </c>
      <c r="E38" s="11" t="inlineStr"/>
      <c r="F38" s="7" t="inlineStr">
        <is>
          <t>GPO/MDM/cấu hình timeout</t>
        </is>
      </c>
      <c r="G38" s="7" t="inlineStr">
        <is>
          <t>Mới/khác so với cấp 1</t>
        </is>
      </c>
      <c r="H38" s="11" t="inlineStr"/>
      <c r="I38" s="11" t="inlineStr"/>
    </row>
    <row r="39">
      <c r="A39" s="7" t="inlineStr">
        <is>
          <t>4.5</t>
        </is>
      </c>
      <c r="B39" s="7" t="inlineStr">
        <is>
          <t>Cấu hình an toàn phần cứng, phần mềm</t>
        </is>
      </c>
      <c r="C39" s="7" t="inlineStr">
        <is>
          <t>4.5.2.2 a)</t>
        </is>
      </c>
      <c r="D39" s="7" t="inlineStr">
        <is>
          <t>Khóa khi đăng nhập sai — gợi ý: laptop, điện thoại ≤ 10 lần; phần mềm nghiệp vụ dữ liệu quan trọng ≤ 5 lần; khóa 12 giờ–30 ngày</t>
        </is>
      </c>
      <c r="E39" s="11" t="inlineStr"/>
      <c r="F39" s="7" t="inlineStr">
        <is>
          <t>Cấu hình lockout</t>
        </is>
      </c>
      <c r="G39" s="7" t="inlineStr">
        <is>
          <t>Mới/khác so với cấp 1</t>
        </is>
      </c>
      <c r="H39" s="11" t="inlineStr"/>
      <c r="I39" s="11" t="inlineStr"/>
    </row>
    <row r="40">
      <c r="A40" s="7" t="inlineStr">
        <is>
          <t>4.5</t>
        </is>
      </c>
      <c r="B40" s="7" t="inlineStr">
        <is>
          <t>Cấu hình an toàn phần cứng, phần mềm</t>
        </is>
      </c>
      <c r="C40" s="7" t="inlineStr">
        <is>
          <t>4.5.2.2 b)</t>
        </is>
      </c>
      <c r="D40" s="7" t="inlineStr">
        <is>
          <t>Có cơ chế mở khóa khẩn cấp cho quản trị viên/tài khoản đặc quyền</t>
        </is>
      </c>
      <c r="E40" s="11" t="inlineStr"/>
      <c r="F40" s="7" t="inlineStr">
        <is>
          <t>Quy trình break-glass</t>
        </is>
      </c>
      <c r="G40" s="7" t="inlineStr"/>
      <c r="H40" s="11" t="inlineStr"/>
      <c r="I40" s="11" t="inlineStr"/>
    </row>
    <row r="41">
      <c r="A41" s="7" t="inlineStr">
        <is>
          <t>4.6</t>
        </is>
      </c>
      <c r="B41" s="7" t="inlineStr">
        <is>
          <t>Quản lý tài khoản và quyền truy cập</t>
        </is>
      </c>
      <c r="C41" s="7" t="inlineStr">
        <is>
          <t>4.6.1 a)</t>
        </is>
      </c>
      <c r="D41" s="7" t="inlineStr">
        <is>
          <t>Quy trình, công cụ cấp/thu hồi quyền cho 4 loại tài khoản (quản trị, tác nghiệp, kỹ thuật, dịch vụ) theo vai trò</t>
        </is>
      </c>
      <c r="E41" s="11" t="inlineStr"/>
      <c r="F41" s="7" t="inlineStr">
        <is>
          <t>Quy trình quản lý tài khoản</t>
        </is>
      </c>
      <c r="G41" s="7" t="inlineStr"/>
      <c r="H41" s="11" t="inlineStr"/>
      <c r="I41" s="11" t="inlineStr"/>
    </row>
    <row r="42">
      <c r="A42" s="7" t="inlineStr">
        <is>
          <t>4.6</t>
        </is>
      </c>
      <c r="B42" s="7" t="inlineStr">
        <is>
          <t>Quản lý tài khoản và quyền truy cập</t>
        </is>
      </c>
      <c r="C42" s="7" t="inlineStr">
        <is>
          <t>4.6.1 c)</t>
        </is>
      </c>
      <c r="D42" s="7" t="inlineStr">
        <is>
          <t>Ghi log và giám sát hoạt động của tài khoản người dùng</t>
        </is>
      </c>
      <c r="E42" s="11" t="inlineStr"/>
      <c r="F42" s="7" t="inlineStr">
        <is>
          <t>Cấu hình audit log đăng nhập</t>
        </is>
      </c>
      <c r="G42" s="7" t="inlineStr"/>
      <c r="H42" s="11" t="inlineStr"/>
      <c r="I42" s="11" t="inlineStr"/>
    </row>
    <row r="43">
      <c r="A43" s="7" t="inlineStr">
        <is>
          <t>4.6</t>
        </is>
      </c>
      <c r="B43" s="7" t="inlineStr">
        <is>
          <t>Quản lý tài khoản và quyền truy cập</t>
        </is>
      </c>
      <c r="C43" s="7" t="inlineStr">
        <is>
          <t>4.6.2.1 a)</t>
        </is>
      </c>
      <c r="D43" s="7" t="inlineStr">
        <is>
          <t>Danh sách mọi tài khoản trên phần cứng và phần mềm</t>
        </is>
      </c>
      <c r="E43" s="11" t="inlineStr"/>
      <c r="F43" s="7" t="inlineStr">
        <is>
          <t>Danh sách tài khoản</t>
        </is>
      </c>
      <c r="G43" s="7" t="inlineStr"/>
      <c r="H43" s="11" t="inlineStr"/>
      <c r="I43" s="11" t="inlineStr"/>
    </row>
    <row r="44">
      <c r="A44" s="7" t="inlineStr">
        <is>
          <t>4.6</t>
        </is>
      </c>
      <c r="B44" s="7" t="inlineStr">
        <is>
          <t>Quản lý tài khoản và quyền truy cập</t>
        </is>
      </c>
      <c r="C44" s="7" t="inlineStr">
        <is>
          <t>4.6.2.1 b)</t>
        </is>
      </c>
      <c r="D44" s="7" t="inlineStr">
        <is>
          <t>Danh sách gồm tối thiểu: tài khoản quản trị, tác nghiệp, kỹ thuật</t>
        </is>
      </c>
      <c r="E44" s="11" t="inlineStr"/>
      <c r="F44" s="7" t="inlineStr">
        <is>
          <t>Danh sách tài khoản phân loại</t>
        </is>
      </c>
      <c r="G44" s="7" t="inlineStr">
        <is>
          <t>Mới/khác so với cấp 1</t>
        </is>
      </c>
      <c r="H44" s="11" t="inlineStr"/>
      <c r="I44" s="11" t="inlineStr"/>
    </row>
    <row r="45">
      <c r="A45" s="7" t="inlineStr">
        <is>
          <t>4.6</t>
        </is>
      </c>
      <c r="B45" s="7" t="inlineStr">
        <is>
          <t>Quản lý tài khoản và quyền truy cập</t>
        </is>
      </c>
      <c r="C45" s="7" t="inlineStr">
        <is>
          <t>4.6.2.1 c)</t>
        </is>
      </c>
      <c r="D45" s="7" t="inlineStr">
        <is>
          <t>Trường tối thiểu: loại, tên, trạng thái, hệ thống, người quản lý, phòng ban, ngày kích hoạt/vô hiệu; không còn tài khoản không hợp lệ</t>
        </is>
      </c>
      <c r="E45" s="11" t="inlineStr"/>
      <c r="F45" s="7" t="inlineStr">
        <is>
          <t>Danh sách có đủ trường</t>
        </is>
      </c>
      <c r="G45" s="7" t="inlineStr"/>
      <c r="H45" s="11" t="inlineStr"/>
      <c r="I45" s="11" t="inlineStr"/>
    </row>
    <row r="46">
      <c r="A46" s="7" t="inlineStr">
        <is>
          <t>4.6</t>
        </is>
      </c>
      <c r="B46" s="7" t="inlineStr">
        <is>
          <t>Quản lý tài khoản và quyền truy cập</t>
        </is>
      </c>
      <c r="C46" s="7" t="inlineStr">
        <is>
          <t>4.6.2.1 d)</t>
        </is>
      </c>
      <c r="D46" s="7" t="inlineStr">
        <is>
          <t>Rà soát danh sách tài khoản ≥ 1 lần/năm</t>
        </is>
      </c>
      <c r="E46" s="11" t="inlineStr"/>
      <c r="F46" s="7" t="inlineStr">
        <is>
          <t>Biên bản rà soát</t>
        </is>
      </c>
      <c r="G46" s="7" t="inlineStr"/>
      <c r="H46" s="11" t="inlineStr"/>
      <c r="I46" s="11" t="inlineStr"/>
    </row>
    <row r="47">
      <c r="A47" s="7" t="inlineStr">
        <is>
          <t>4.6</t>
        </is>
      </c>
      <c r="B47" s="7" t="inlineStr">
        <is>
          <t>Quản lý tài khoản và quyền truy cập</t>
        </is>
      </c>
      <c r="C47" s="7" t="inlineStr">
        <is>
          <t>4.6.2.2 a)</t>
        </is>
      </c>
      <c r="D47" s="7" t="inlineStr">
        <is>
          <t>Cấu hình bắt đổi mật khẩu mặc định; quy tắc độ dài, loại ký tự; thời hạn đổi và thời hạn hiệu lực mật khẩu</t>
        </is>
      </c>
      <c r="E47" s="11" t="inlineStr"/>
      <c r="F47" s="7" t="inlineStr">
        <is>
          <t>Chính sách mật khẩu (GPO/IdP)</t>
        </is>
      </c>
      <c r="G47" s="7" t="inlineStr">
        <is>
          <t>Mới/khác so với cấp 1</t>
        </is>
      </c>
      <c r="H47" s="11" t="inlineStr"/>
      <c r="I47" s="11" t="inlineStr"/>
    </row>
    <row r="48">
      <c r="A48" s="7" t="inlineStr">
        <is>
          <t>4.6</t>
        </is>
      </c>
      <c r="B48" s="7" t="inlineStr">
        <is>
          <t>Quản lý tài khoản và quyền truy cập</t>
        </is>
      </c>
      <c r="C48" s="7" t="inlineStr">
        <is>
          <t>4.6.2.2 b)</t>
        </is>
      </c>
      <c r="D48" s="7" t="inlineStr">
        <is>
          <t>Gợi ý: mật khẩu riêng cho từng tài sản hoặc xác thực tập trung; bắt đổi ở lần đăng nhập đầu</t>
        </is>
      </c>
      <c r="E48" s="11" t="inlineStr"/>
      <c r="F48" s="7" t="inlineStr">
        <is>
          <t>Cấu hình IdP/SSO</t>
        </is>
      </c>
      <c r="G48" s="7" t="inlineStr"/>
      <c r="H48" s="11" t="inlineStr"/>
      <c r="I48" s="11" t="inlineStr"/>
    </row>
    <row r="49">
      <c r="A49" s="7" t="inlineStr">
        <is>
          <t>4.6</t>
        </is>
      </c>
      <c r="B49" s="7" t="inlineStr">
        <is>
          <t>Quản lý tài khoản và quyền truy cập</t>
        </is>
      </c>
      <c r="C49" s="7" t="inlineStr">
        <is>
          <t>4.6.2.2 b)</t>
        </is>
      </c>
      <c r="D49" s="7" t="inlineStr">
        <is>
          <t>Gợi ý độ dài: ≥ 8 ký tự nếu có MFA; ≥ 14 ký tự gồm đủ 4 loại ký tự nếu không có MFA</t>
        </is>
      </c>
      <c r="E49" s="11" t="inlineStr"/>
      <c r="F49" s="7" t="inlineStr">
        <is>
          <t>Chính sách mật khẩu</t>
        </is>
      </c>
      <c r="G49" s="7" t="inlineStr"/>
      <c r="H49" s="11" t="inlineStr"/>
      <c r="I49" s="11" t="inlineStr"/>
    </row>
    <row r="50">
      <c r="A50" s="7" t="inlineStr">
        <is>
          <t>4.6</t>
        </is>
      </c>
      <c r="B50" s="7" t="inlineStr">
        <is>
          <t>Quản lý tài khoản và quyền truy cập</t>
        </is>
      </c>
      <c r="C50" s="7" t="inlineStr">
        <is>
          <t>4.6.2.2 b)</t>
        </is>
      </c>
      <c r="D50" s="7" t="inlineStr">
        <is>
          <t>Tài khoản quản trị đổi mật khẩu ít nhất 2 tháng/lần</t>
        </is>
      </c>
      <c r="E50" s="11" t="inlineStr"/>
      <c r="F50" s="7" t="inlineStr">
        <is>
          <t>Chính sách hết hạn mật khẩu tài khoản quản trị</t>
        </is>
      </c>
      <c r="G50" s="7" t="inlineStr"/>
      <c r="H50" s="11" t="inlineStr"/>
      <c r="I50" s="11" t="inlineStr"/>
    </row>
    <row r="51">
      <c r="A51" s="7" t="inlineStr">
        <is>
          <t>4.6</t>
        </is>
      </c>
      <c r="B51" s="7" t="inlineStr">
        <is>
          <t>Quản lý tài khoản và quyền truy cập</t>
        </is>
      </c>
      <c r="C51" s="7" t="inlineStr">
        <is>
          <t>4.6.2.3</t>
        </is>
      </c>
      <c r="D51" s="7" t="inlineStr">
        <is>
          <t>Đổi hoặc vô hiệu hóa tài khoản mặc định (root, administrator, tài khoản cài sẵn của hãng)</t>
        </is>
      </c>
      <c r="E51" s="11" t="inlineStr"/>
      <c r="F51" s="7" t="inlineStr">
        <is>
          <t>Danh sách tài khoản mặc định đã xử lý</t>
        </is>
      </c>
      <c r="G51" s="7" t="inlineStr"/>
      <c r="H51" s="11" t="inlineStr"/>
      <c r="I51" s="11" t="inlineStr"/>
    </row>
    <row r="52">
      <c r="A52" s="7" t="inlineStr">
        <is>
          <t>4.6</t>
        </is>
      </c>
      <c r="B52" s="7" t="inlineStr">
        <is>
          <t>Quản lý tài khoản và quyền truy cập</t>
        </is>
      </c>
      <c r="C52" s="7" t="inlineStr">
        <is>
          <t>4.6.2.3</t>
        </is>
      </c>
      <c r="D52" s="7" t="inlineStr">
        <is>
          <t>Tách biệt quản lý 4 loại tài khoản</t>
        </is>
      </c>
      <c r="E52" s="11" t="inlineStr"/>
      <c r="F52" s="7" t="inlineStr">
        <is>
          <t>Quy định + danh sách phân loại</t>
        </is>
      </c>
      <c r="G52" s="7" t="inlineStr"/>
      <c r="H52" s="11" t="inlineStr"/>
      <c r="I52" s="11" t="inlineStr"/>
    </row>
    <row r="53">
      <c r="A53" s="7" t="inlineStr">
        <is>
          <t>4.6</t>
        </is>
      </c>
      <c r="B53" s="7" t="inlineStr">
        <is>
          <t>Quản lý tài khoản và quyền truy cập</t>
        </is>
      </c>
      <c r="C53" s="7" t="inlineStr">
        <is>
          <t>4.6.2.3</t>
        </is>
      </c>
      <c r="D53" s="7" t="inlineStr">
        <is>
          <t>Mỗi tài khoản gắn một người; dùng chung phải được phê duyệt và truy vết được người dùng từng thời điểm</t>
        </is>
      </c>
      <c r="E53" s="11" t="inlineStr"/>
      <c r="F53" s="7" t="inlineStr">
        <is>
          <t>Phê duyệt tài khoản dùng chung, sổ theo dõi</t>
        </is>
      </c>
      <c r="G53" s="7" t="inlineStr"/>
      <c r="H53" s="11" t="inlineStr"/>
      <c r="I53" s="11" t="inlineStr"/>
    </row>
    <row r="54">
      <c r="A54" s="7" t="inlineStr">
        <is>
          <t>4.6</t>
        </is>
      </c>
      <c r="B54" s="7" t="inlineStr">
        <is>
          <t>Quản lý tài khoản và quyền truy cập</t>
        </is>
      </c>
      <c r="C54" s="7" t="inlineStr">
        <is>
          <t>4.6.2.3</t>
        </is>
      </c>
      <c r="D54" s="7" t="inlineStr">
        <is>
          <t>Xóa/vô hiệu hóa tài khoản không hoạt động quá 45 ngày hoặc ngay khi đổi nhân sự</t>
        </is>
      </c>
      <c r="E54" s="11" t="inlineStr"/>
      <c r="F54" s="7" t="inlineStr">
        <is>
          <t>Báo cáo tài khoản inactive</t>
        </is>
      </c>
      <c r="G54" s="7" t="inlineStr"/>
      <c r="H54" s="11" t="inlineStr"/>
      <c r="I54" s="11" t="inlineStr"/>
    </row>
    <row r="55">
      <c r="A55" s="7" t="inlineStr">
        <is>
          <t>4.6</t>
        </is>
      </c>
      <c r="B55" s="7" t="inlineStr">
        <is>
          <t>Quản lý tài khoản và quyền truy cập</t>
        </is>
      </c>
      <c r="C55" s="7" t="inlineStr">
        <is>
          <t>4.6.2.3</t>
        </is>
      </c>
      <c r="D55" s="7" t="inlineStr">
        <is>
          <t>Rà soát quy định quản lý tài khoản ≥ 1 lần/năm hoặc khi thay đổi</t>
        </is>
      </c>
      <c r="E55" s="11" t="inlineStr"/>
      <c r="F55" s="7" t="inlineStr">
        <is>
          <t>Lịch sử phiên bản</t>
        </is>
      </c>
      <c r="G55" s="7" t="inlineStr"/>
      <c r="H55" s="11" t="inlineStr"/>
      <c r="I55" s="11" t="inlineStr"/>
    </row>
    <row r="56">
      <c r="A56" s="7" t="inlineStr">
        <is>
          <t>4.6</t>
        </is>
      </c>
      <c r="B56" s="7" t="inlineStr">
        <is>
          <t>Quản lý tài khoản và quyền truy cập</t>
        </is>
      </c>
      <c r="C56" s="7" t="inlineStr">
        <is>
          <t>4.6.2.4</t>
        </is>
      </c>
      <c r="D56" s="7" t="inlineStr">
        <is>
          <t>Áp dụng đặc quyền tối thiểu và phân tách nhiệm vụ cho mọi loại tài khoản</t>
        </is>
      </c>
      <c r="E56" s="11" t="inlineStr"/>
      <c r="F56" s="7" t="inlineStr">
        <is>
          <t>Ma trận vai trò – quyền</t>
        </is>
      </c>
      <c r="G56" s="7" t="inlineStr"/>
      <c r="H56" s="11" t="inlineStr"/>
      <c r="I56" s="11" t="inlineStr"/>
    </row>
    <row r="57">
      <c r="A57" s="7" t="inlineStr">
        <is>
          <t>4.6</t>
        </is>
      </c>
      <c r="B57" s="7" t="inlineStr">
        <is>
          <t>Quản lý tài khoản và quyền truy cập</t>
        </is>
      </c>
      <c r="C57" s="7" t="inlineStr">
        <is>
          <t>4.6.2.4</t>
        </is>
      </c>
      <c r="D57" s="7" t="inlineStr">
        <is>
          <t>Tài liệu hóa quyền cần thiết theo chức danh, bộ phận</t>
        </is>
      </c>
      <c r="E57" s="11" t="inlineStr"/>
      <c r="F57" s="7" t="inlineStr">
        <is>
          <t>Ma trận quyền theo chức danh</t>
        </is>
      </c>
      <c r="G57" s="7" t="inlineStr"/>
      <c r="H57" s="11" t="inlineStr"/>
      <c r="I57" s="11" t="inlineStr"/>
    </row>
    <row r="58">
      <c r="A58" s="7" t="inlineStr">
        <is>
          <t>4.6</t>
        </is>
      </c>
      <c r="B58" s="7" t="inlineStr">
        <is>
          <t>Quản lý tài khoản và quyền truy cập</t>
        </is>
      </c>
      <c r="C58" s="7" t="inlineStr">
        <is>
          <t>4.6.2.4</t>
        </is>
      </c>
      <c r="D58" s="7" t="inlineStr">
        <is>
          <t>MFA cho truy cập từ ngoài tổ chức, từ đối tác/bên thứ ba, từ Internet và cho tài khoản quản trị</t>
        </is>
      </c>
      <c r="E58" s="11" t="inlineStr"/>
      <c r="F58" s="7" t="inlineStr">
        <is>
          <t>Cấu hình MFA</t>
        </is>
      </c>
      <c r="G58" s="7" t="inlineStr"/>
      <c r="H58" s="11" t="inlineStr"/>
      <c r="I58" s="11" t="inlineStr"/>
    </row>
    <row r="59">
      <c r="A59" s="7" t="inlineStr">
        <is>
          <t>4.6</t>
        </is>
      </c>
      <c r="B59" s="7" t="inlineStr">
        <is>
          <t>Quản lý tài khoản và quyền truy cập</t>
        </is>
      </c>
      <c r="C59" s="7" t="inlineStr">
        <is>
          <t>4.6.2.4</t>
        </is>
      </c>
      <c r="D59" s="7" t="inlineStr">
        <is>
          <t>Rà soát quy định quản lý truy cập ≥ 1 lần/năm hoặc khi thay đổi</t>
        </is>
      </c>
      <c r="E59" s="11" t="inlineStr"/>
      <c r="F59" s="7" t="inlineStr">
        <is>
          <t>Lịch sử phiên bản</t>
        </is>
      </c>
      <c r="G59" s="7" t="inlineStr"/>
      <c r="H59" s="11" t="inlineStr"/>
      <c r="I59" s="11" t="inlineStr"/>
    </row>
    <row r="60">
      <c r="A60" s="7" t="inlineStr">
        <is>
          <t>4.7</t>
        </is>
      </c>
      <c r="B60" s="7" t="inlineStr">
        <is>
          <t>Quản lý lỗ hổng bảo mật</t>
        </is>
      </c>
      <c r="C60" s="7" t="inlineStr">
        <is>
          <t>4.7.1 b)</t>
        </is>
      </c>
      <c r="D60" s="7" t="inlineStr">
        <is>
          <t>Theo dõi thông tin mối đe dọa, lỗ hổng mới từ nhiều nguồn</t>
        </is>
      </c>
      <c r="E60" s="11" t="inlineStr"/>
      <c r="F60" s="7" t="inlineStr">
        <is>
          <t>Nguồn tin đăng ký (NCSC, CVE, hãng…)</t>
        </is>
      </c>
      <c r="G60" s="7" t="inlineStr"/>
      <c r="H60" s="11" t="inlineStr"/>
      <c r="I60" s="11" t="inlineStr"/>
    </row>
    <row r="61">
      <c r="A61" s="7" t="inlineStr">
        <is>
          <t>4.7</t>
        </is>
      </c>
      <c r="B61" s="7" t="inlineStr">
        <is>
          <t>Quản lý lỗ hổng bảo mật</t>
        </is>
      </c>
      <c r="C61" s="7" t="inlineStr">
        <is>
          <t>4.7.2.1 a)</t>
        </is>
      </c>
      <c r="D61" s="7" t="inlineStr">
        <is>
          <t>Quy trình quản lý lỗ hổng: rà quét phát hiện, chấm mức nghiêm trọng, chia sẻ/tiếp nhận báo cáo, khắc phục theo ưu tiên và kiểm tra lại</t>
        </is>
      </c>
      <c r="E61" s="11" t="inlineStr"/>
      <c r="F61" s="7" t="inlineStr">
        <is>
          <t>Quy trình quản lý lỗ hổng</t>
        </is>
      </c>
      <c r="G61" s="7" t="inlineStr"/>
      <c r="H61" s="11" t="inlineStr"/>
      <c r="I61" s="11" t="inlineStr"/>
    </row>
    <row r="62">
      <c r="A62" s="7" t="inlineStr">
        <is>
          <t>4.7</t>
        </is>
      </c>
      <c r="B62" s="7" t="inlineStr">
        <is>
          <t>Quản lý lỗ hổng bảo mật</t>
        </is>
      </c>
      <c r="C62" s="7" t="inlineStr">
        <is>
          <t>4.7.2.1 b)</t>
        </is>
      </c>
      <c r="D62" s="7" t="inlineStr">
        <is>
          <t>Rà soát quy trình và thực hiện rà quét lỗ hổng ≥ 1 lần/năm hoặc khi thay đổi</t>
        </is>
      </c>
      <c r="E62" s="11" t="inlineStr"/>
      <c r="F62" s="7" t="inlineStr">
        <is>
          <t>Báo cáo rà quét, biên bản rà soát</t>
        </is>
      </c>
      <c r="G62" s="7" t="inlineStr"/>
      <c r="H62" s="11" t="inlineStr"/>
      <c r="I62" s="11" t="inlineStr"/>
    </row>
    <row r="63">
      <c r="A63" s="7" t="inlineStr">
        <is>
          <t>4.7</t>
        </is>
      </c>
      <c r="B63" s="7" t="inlineStr">
        <is>
          <t>Quản lý lỗ hổng bảo mật</t>
        </is>
      </c>
      <c r="C63" s="7" t="inlineStr">
        <is>
          <t>4.7.2.2</t>
        </is>
      </c>
      <c r="D63" s="7" t="inlineStr">
        <is>
          <t>Có phương án vá cho toàn bộ phần cứng, phần mềm của HTTT</t>
        </is>
      </c>
      <c r="E63" s="11" t="inlineStr"/>
      <c r="F63" s="7" t="inlineStr">
        <is>
          <t>Kế hoạch vá</t>
        </is>
      </c>
      <c r="G63" s="7" t="inlineStr">
        <is>
          <t>Mới/khác so với cấp 1</t>
        </is>
      </c>
      <c r="H63" s="11" t="inlineStr"/>
      <c r="I63" s="11" t="inlineStr"/>
    </row>
    <row r="64">
      <c r="A64" s="7" t="inlineStr">
        <is>
          <t>4.7</t>
        </is>
      </c>
      <c r="B64" s="7" t="inlineStr">
        <is>
          <t>Quản lý lỗ hổng bảo mật</t>
        </is>
      </c>
      <c r="C64" s="7" t="inlineStr">
        <is>
          <t>4.7.2.2</t>
        </is>
      </c>
      <c r="D64" s="7" t="inlineStr">
        <is>
          <t>Trước khi vá hệ thống có dữ liệu quan trọng: đánh giá tác động, thử nghiệm, có phương án khôi phục</t>
        </is>
      </c>
      <c r="E64" s="11" t="inlineStr"/>
      <c r="F64" s="7" t="inlineStr">
        <is>
          <t>Biên bản thử nghiệm bản vá</t>
        </is>
      </c>
      <c r="G64" s="7" t="inlineStr">
        <is>
          <t>Mới/khác so với cấp 1</t>
        </is>
      </c>
      <c r="H64" s="11" t="inlineStr"/>
      <c r="I64" s="11" t="inlineStr"/>
    </row>
    <row r="65">
      <c r="A65" s="7" t="inlineStr">
        <is>
          <t>4.7</t>
        </is>
      </c>
      <c r="B65" s="7" t="inlineStr">
        <is>
          <t>Quản lý lỗ hổng bảo mật</t>
        </is>
      </c>
      <c r="C65" s="7" t="inlineStr">
        <is>
          <t>4.7.2.2</t>
        </is>
      </c>
      <c r="D65" s="7" t="inlineStr">
        <is>
          <t>Kiểm tra, cập nhật bản vá HĐH và ứng dụng cho máy tính, di động cấp cho người dùng ≥ 1 lần/tháng</t>
        </is>
      </c>
      <c r="E65" s="11" t="inlineStr"/>
      <c r="F65" s="7" t="inlineStr">
        <is>
          <t>Báo cáo tuân thủ bản vá hằng tháng</t>
        </is>
      </c>
      <c r="G65" s="7" t="inlineStr"/>
      <c r="H65" s="11" t="inlineStr"/>
      <c r="I65" s="11" t="inlineStr"/>
    </row>
    <row r="66">
      <c r="A66" s="7" t="inlineStr">
        <is>
          <t>4.7</t>
        </is>
      </c>
      <c r="B66" s="7" t="inlineStr">
        <is>
          <t>Quản lý lỗ hổng bảo mật</t>
        </is>
      </c>
      <c r="C66" s="7" t="inlineStr">
        <is>
          <t>4.7.2.2</t>
        </is>
      </c>
      <c r="D66" s="7" t="inlineStr">
        <is>
          <t>Giám sát để phát hiện lỗ hổng mới và vá kịp thời</t>
        </is>
      </c>
      <c r="E66" s="11" t="inlineStr"/>
      <c r="F66" s="7" t="inlineStr">
        <is>
          <t>Nhật ký vá</t>
        </is>
      </c>
      <c r="G66" s="7" t="inlineStr"/>
      <c r="H66" s="11" t="inlineStr"/>
      <c r="I66" s="11" t="inlineStr"/>
    </row>
    <row r="67">
      <c r="A67" s="7" t="inlineStr">
        <is>
          <t>4.8</t>
        </is>
      </c>
      <c r="B67" s="7" t="inlineStr">
        <is>
          <t>Quản lý nhật ký an ninh mạng</t>
        </is>
      </c>
      <c r="C67" s="7" t="inlineStr">
        <is>
          <t>4.8.2.1 a)</t>
        </is>
      </c>
      <c r="D67" s="7" t="inlineStr">
        <is>
          <t>Quy định quản lý log: cách ghi, thu thập, kiểm tra, lưu trữ</t>
        </is>
      </c>
      <c r="E67" s="11" t="inlineStr"/>
      <c r="F67" s="7" t="inlineStr">
        <is>
          <t>Quy định quản lý nhật ký</t>
        </is>
      </c>
      <c r="G67" s="7" t="inlineStr"/>
      <c r="H67" s="11" t="inlineStr"/>
      <c r="I67" s="11" t="inlineStr"/>
    </row>
    <row r="68">
      <c r="A68" s="7" t="inlineStr">
        <is>
          <t>4.8</t>
        </is>
      </c>
      <c r="B68" s="7" t="inlineStr">
        <is>
          <t>Quản lý nhật ký an ninh mạng</t>
        </is>
      </c>
      <c r="C68" s="7" t="inlineStr">
        <is>
          <t>4.8.2.1 a)</t>
        </is>
      </c>
      <c r="D68" s="7" t="inlineStr">
        <is>
          <t>Thu thập tối thiểu: log truy cập hệ thống, log ứng dụng, log cảnh báo thiết bị bảo mật</t>
        </is>
      </c>
      <c r="E68" s="11" t="inlineStr"/>
      <c r="F68" s="7" t="inlineStr">
        <is>
          <t>Danh sách nguồn log</t>
        </is>
      </c>
      <c r="G68" s="7" t="inlineStr">
        <is>
          <t>Mới/khác so với cấp 1</t>
        </is>
      </c>
      <c r="H68" s="11" t="inlineStr"/>
      <c r="I68" s="11" t="inlineStr"/>
    </row>
    <row r="69">
      <c r="A69" s="7" t="inlineStr">
        <is>
          <t>4.8</t>
        </is>
      </c>
      <c r="B69" s="7" t="inlineStr">
        <is>
          <t>Quản lý nhật ký an ninh mạng</t>
        </is>
      </c>
      <c r="C69" s="7" t="inlineStr">
        <is>
          <t>4.8.2.1 a)</t>
        </is>
      </c>
      <c r="D69" s="7" t="inlineStr">
        <is>
          <t>Log truy cập có nguồn, đích, tài khoản, thời điểm, hành vi; log cảnh báo có tên, thiết bị, mức độ, nguồn, loại, thời điểm</t>
        </is>
      </c>
      <c r="E69" s="11" t="inlineStr"/>
      <c r="F69" s="7" t="inlineStr">
        <is>
          <t>Mẫu bản ghi log</t>
        </is>
      </c>
      <c r="G69" s="7" t="inlineStr">
        <is>
          <t>Mới/khác so với cấp 1</t>
        </is>
      </c>
      <c r="H69" s="11" t="inlineStr"/>
      <c r="I69" s="11" t="inlineStr"/>
    </row>
    <row r="70">
      <c r="A70" s="7" t="inlineStr">
        <is>
          <t>4.8</t>
        </is>
      </c>
      <c r="B70" s="7" t="inlineStr">
        <is>
          <t>Quản lý nhật ký an ninh mạng</t>
        </is>
      </c>
      <c r="C70" s="7" t="inlineStr">
        <is>
          <t>4.8.2.1 a)</t>
        </is>
      </c>
      <c r="D70" s="7" t="inlineStr">
        <is>
          <t>Đồng bộ thời gian qua máy chủ thời gian (NTP) cho mọi thành phần tham gia giám sát</t>
        </is>
      </c>
      <c r="E70" s="11" t="inlineStr"/>
      <c r="F70" s="7" t="inlineStr">
        <is>
          <t>Cấu hình NTP</t>
        </is>
      </c>
      <c r="G70" s="7" t="inlineStr"/>
      <c r="H70" s="11" t="inlineStr"/>
      <c r="I70" s="11" t="inlineStr"/>
    </row>
    <row r="71">
      <c r="A71" s="7" t="inlineStr">
        <is>
          <t>4.8</t>
        </is>
      </c>
      <c r="B71" s="7" t="inlineStr">
        <is>
          <t>Quản lý nhật ký an ninh mạng</t>
        </is>
      </c>
      <c r="C71" s="7" t="inlineStr">
        <is>
          <t>4.8.2.1 a)</t>
        </is>
      </c>
      <c r="D71" s="7" t="inlineStr">
        <is>
          <t>Bảo đảm dung lượng lưu log tối thiểu 1 tháng</t>
        </is>
      </c>
      <c r="E71" s="11" t="inlineStr"/>
      <c r="F71" s="7" t="inlineStr">
        <is>
          <t>Cấu hình retention, ảnh chụp dung lượng</t>
        </is>
      </c>
      <c r="G71" s="7" t="inlineStr">
        <is>
          <t>Mới/khác so với cấp 1</t>
        </is>
      </c>
      <c r="H71" s="11" t="inlineStr"/>
      <c r="I71" s="11" t="inlineStr"/>
    </row>
    <row r="72">
      <c r="A72" s="7" t="inlineStr">
        <is>
          <t>4.8</t>
        </is>
      </c>
      <c r="B72" s="7" t="inlineStr">
        <is>
          <t>Quản lý nhật ký an ninh mạng</t>
        </is>
      </c>
      <c r="C72" s="7" t="inlineStr">
        <is>
          <t>4.8.2.1 a)</t>
        </is>
      </c>
      <c r="D72" s="7" t="inlineStr">
        <is>
          <t>Rà soát log ANM ≥ 1 lần/năm</t>
        </is>
      </c>
      <c r="E72" s="11" t="inlineStr"/>
      <c r="F72" s="7" t="inlineStr">
        <is>
          <t>Biên bản rà soát log</t>
        </is>
      </c>
      <c r="G72" s="7" t="inlineStr"/>
      <c r="H72" s="11" t="inlineStr"/>
      <c r="I72" s="11" t="inlineStr"/>
    </row>
    <row r="73">
      <c r="A73" s="7" t="inlineStr">
        <is>
          <t>4.8</t>
        </is>
      </c>
      <c r="B73" s="7" t="inlineStr">
        <is>
          <t>Quản lý nhật ký an ninh mạng</t>
        </is>
      </c>
      <c r="C73" s="7" t="inlineStr">
        <is>
          <t>4.8.2.1 b)</t>
        </is>
      </c>
      <c r="D73" s="7" t="inlineStr">
        <is>
          <t>Kiểm tra, cập nhật quy trình quản lý log ≥ 1 lần/năm hoặc khi thay đổi</t>
        </is>
      </c>
      <c r="E73" s="11" t="inlineStr"/>
      <c r="F73" s="7" t="inlineStr">
        <is>
          <t>Lịch sử phiên bản</t>
        </is>
      </c>
      <c r="G73" s="7" t="inlineStr"/>
      <c r="H73" s="11" t="inlineStr"/>
      <c r="I73" s="11" t="inlineStr"/>
    </row>
    <row r="74">
      <c r="A74" s="7" t="inlineStr">
        <is>
          <t>4.9</t>
        </is>
      </c>
      <c r="B74" s="7" t="inlineStr">
        <is>
          <t>Bảo vệ trình duyệt web, thư điện tử</t>
        </is>
      </c>
      <c r="C74" s="7" t="inlineStr">
        <is>
          <t>4.9.2.1 a)</t>
        </is>
      </c>
      <c r="D74" s="7" t="inlineStr">
        <is>
          <t>Danh sách trình duyệt và dịch vụ email được phép</t>
        </is>
      </c>
      <c r="E74" s="11" t="inlineStr"/>
      <c r="F74" s="7" t="inlineStr">
        <is>
          <t>Danh sách được phép</t>
        </is>
      </c>
      <c r="G74" s="7" t="inlineStr"/>
      <c r="H74" s="11" t="inlineStr"/>
      <c r="I74" s="11" t="inlineStr"/>
    </row>
    <row r="75">
      <c r="A75" s="7" t="inlineStr">
        <is>
          <t>4.9</t>
        </is>
      </c>
      <c r="B75" s="7" t="inlineStr">
        <is>
          <t>Bảo vệ trình duyệt web, thư điện tử</t>
        </is>
      </c>
      <c r="C75" s="7" t="inlineStr">
        <is>
          <t>4.9.2.1 b)</t>
        </is>
      </c>
      <c r="D75" s="7" t="inlineStr">
        <is>
          <t>Chỉ dùng phiên bản còn được hãng hỗ trợ</t>
        </is>
      </c>
      <c r="E75" s="11" t="inlineStr"/>
      <c r="F75" s="7" t="inlineStr">
        <is>
          <t>Báo cáo phiên bản</t>
        </is>
      </c>
      <c r="G75" s="7" t="inlineStr"/>
      <c r="H75" s="11" t="inlineStr"/>
      <c r="I75" s="11" t="inlineStr"/>
    </row>
    <row r="76">
      <c r="A76" s="7" t="inlineStr">
        <is>
          <t>4.9</t>
        </is>
      </c>
      <c r="B76" s="7" t="inlineStr">
        <is>
          <t>Bảo vệ trình duyệt web, thư điện tử</t>
        </is>
      </c>
      <c r="C76" s="7" t="inlineStr">
        <is>
          <t>4.9.2.1 c)</t>
        </is>
      </c>
      <c r="D76" s="7" t="inlineStr">
        <is>
          <t>Cập nhật bản vá trình duyệt, email thường xuyên (hoặc biện pháp tương đương)</t>
        </is>
      </c>
      <c r="E76" s="11" t="inlineStr"/>
      <c r="F76" s="7" t="inlineStr">
        <is>
          <t>Báo cáo bản vá</t>
        </is>
      </c>
      <c r="G76" s="7" t="inlineStr"/>
      <c r="H76" s="11" t="inlineStr"/>
      <c r="I76" s="11" t="inlineStr"/>
    </row>
    <row r="77">
      <c r="A77" s="7" t="inlineStr">
        <is>
          <t>4.9</t>
        </is>
      </c>
      <c r="B77" s="7" t="inlineStr">
        <is>
          <t>Bảo vệ trình duyệt web, thư điện tử</t>
        </is>
      </c>
      <c r="C77" s="7" t="inlineStr">
        <is>
          <t>4.9.2.2</t>
        </is>
      </c>
      <c r="D77" s="7" t="inlineStr">
        <is>
          <t>Dùng dịch vụ lọc tên miền (DNS filtering) chặn tên miền giả mạo, độc hại</t>
        </is>
      </c>
      <c r="E77" s="11" t="inlineStr"/>
      <c r="F77" s="7" t="inlineStr">
        <is>
          <t>Cấu hình DNS filtering</t>
        </is>
      </c>
      <c r="G77" s="7" t="inlineStr"/>
      <c r="H77" s="11" t="inlineStr"/>
      <c r="I77" s="11" t="inlineStr"/>
    </row>
    <row r="78">
      <c r="A78" s="7" t="inlineStr">
        <is>
          <t>4.10</t>
        </is>
      </c>
      <c r="B78" s="7" t="inlineStr">
        <is>
          <t>Phòng chống phần mềm độc hại</t>
        </is>
      </c>
      <c r="C78" s="7" t="inlineStr">
        <is>
          <t>4.10.1 a)</t>
        </is>
      </c>
      <c r="D78" s="7" t="inlineStr">
        <is>
          <t>Quy định phòng, chống, khắc phục mã độc</t>
        </is>
      </c>
      <c r="E78" s="11" t="inlineStr"/>
      <c r="F78" s="7" t="inlineStr">
        <is>
          <t>Quy định phòng chống mã độc</t>
        </is>
      </c>
      <c r="G78" s="7" t="inlineStr"/>
      <c r="H78" s="11" t="inlineStr"/>
      <c r="I78" s="11" t="inlineStr"/>
    </row>
    <row r="79">
      <c r="A79" s="7" t="inlineStr">
        <is>
          <t>4.10</t>
        </is>
      </c>
      <c r="B79" s="7" t="inlineStr">
        <is>
          <t>Phòng chống phần mềm độc hại</t>
        </is>
      </c>
      <c r="C79" s="7" t="inlineStr">
        <is>
          <t>4.10.1 b)</t>
        </is>
      </c>
      <c r="D79" s="7" t="inlineStr">
        <is>
          <t>Chống mã độc cho mọi tài sản và điểm kết nối (trong và ngoài); tự quét, chặn, cập nhật mẫu, gắn với quy trình lỗ hổng/sự cố</t>
        </is>
      </c>
      <c r="E79" s="11" t="inlineStr"/>
      <c r="F79" s="7" t="inlineStr">
        <is>
          <t>Kiến trúc giải pháp</t>
        </is>
      </c>
      <c r="G79" s="7" t="inlineStr"/>
      <c r="H79" s="11" t="inlineStr"/>
      <c r="I79" s="11" t="inlineStr"/>
    </row>
    <row r="80">
      <c r="A80" s="7" t="inlineStr">
        <is>
          <t>4.10</t>
        </is>
      </c>
      <c r="B80" s="7" t="inlineStr">
        <is>
          <t>Phòng chống phần mềm độc hại</t>
        </is>
      </c>
      <c r="C80" s="7" t="inlineStr">
        <is>
          <t>4.10.2.1 a)</t>
        </is>
      </c>
      <c r="D80" s="7" t="inlineStr">
        <is>
          <t>Cài và duy trì phần mềm chống mã độc (hoặc tương đương) trên máy chủ, máy người dùng</t>
        </is>
      </c>
      <c r="E80" s="11" t="inlineStr"/>
      <c r="F80" s="7" t="inlineStr">
        <is>
          <t>Báo cáo độ phủ agent</t>
        </is>
      </c>
      <c r="G80" s="7" t="inlineStr"/>
      <c r="H80" s="11" t="inlineStr"/>
      <c r="I80" s="11" t="inlineStr"/>
    </row>
    <row r="81">
      <c r="A81" s="7" t="inlineStr">
        <is>
          <t>4.10</t>
        </is>
      </c>
      <c r="B81" s="7" t="inlineStr">
        <is>
          <t>Phòng chống phần mềm độc hại</t>
        </is>
      </c>
      <c r="C81" s="7" t="inlineStr">
        <is>
          <t>4.10.2.1 b)</t>
        </is>
      </c>
      <c r="D81" s="7" t="inlineStr">
        <is>
          <t>Tính năng tối thiểu: bảo vệ thời gian thực, tự cập nhật mẫu nhận diện</t>
        </is>
      </c>
      <c r="E81" s="11" t="inlineStr"/>
      <c r="F81" s="7" t="inlineStr">
        <is>
          <t>Cấu hình sản phẩm</t>
        </is>
      </c>
      <c r="G81" s="7" t="inlineStr"/>
      <c r="H81" s="11" t="inlineStr"/>
      <c r="I81" s="11" t="inlineStr"/>
    </row>
    <row r="82">
      <c r="A82" s="7" t="inlineStr">
        <is>
          <t>4.10</t>
        </is>
      </c>
      <c r="B82" s="7" t="inlineStr">
        <is>
          <t>Phòng chống phần mềm độc hại</t>
        </is>
      </c>
      <c r="C82" s="7" t="inlineStr">
        <is>
          <t>4.10.2.2</t>
        </is>
      </c>
      <c r="D82" s="7" t="inlineStr">
        <is>
          <t>Quét mã độc và tắt autorun/autoplay với USB, ổ cứng, thẻ nhớ</t>
        </is>
      </c>
      <c r="E82" s="11" t="inlineStr"/>
      <c r="F82" s="7" t="inlineStr">
        <is>
          <t>GPO tắt autorun, chính sách quét</t>
        </is>
      </c>
      <c r="G82" s="7" t="inlineStr"/>
      <c r="H82" s="11" t="inlineStr"/>
      <c r="I82" s="11" t="inlineStr"/>
    </row>
    <row r="83">
      <c r="A83" s="7" t="inlineStr">
        <is>
          <t>4.11</t>
        </is>
      </c>
      <c r="B83" s="7" t="inlineStr">
        <is>
          <t>Sao lưu và khôi phục dữ liệu</t>
        </is>
      </c>
      <c r="C83" s="7" t="inlineStr">
        <is>
          <t>4.11.2.1 a)</t>
        </is>
      </c>
      <c r="D83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83" s="11" t="inlineStr"/>
      <c r="F83" s="7" t="inlineStr">
        <is>
          <t>Quy định sao lưu</t>
        </is>
      </c>
      <c r="G83" s="7" t="inlineStr"/>
      <c r="H83" s="11" t="inlineStr"/>
      <c r="I83" s="11" t="inlineStr"/>
    </row>
    <row r="84">
      <c r="A84" s="7" t="inlineStr">
        <is>
          <t>4.11</t>
        </is>
      </c>
      <c r="B84" s="7" t="inlineStr">
        <is>
          <t>Sao lưu và khôi phục dữ liệu</t>
        </is>
      </c>
      <c r="C84" s="7" t="inlineStr">
        <is>
          <t>4.11.2.1 b)</t>
        </is>
      </c>
      <c r="D84" s="7" t="inlineStr">
        <is>
          <t>Rà soát quy định sao lưu ≥ 1 lần/năm hoặc khi thay đổi</t>
        </is>
      </c>
      <c r="E84" s="11" t="inlineStr"/>
      <c r="F84" s="7" t="inlineStr">
        <is>
          <t>Lịch sử phiên bản</t>
        </is>
      </c>
      <c r="G84" s="7" t="inlineStr"/>
      <c r="H84" s="11" t="inlineStr"/>
      <c r="I84" s="11" t="inlineStr"/>
    </row>
    <row r="85">
      <c r="A85" s="7" t="inlineStr">
        <is>
          <t>4.11</t>
        </is>
      </c>
      <c r="B85" s="7" t="inlineStr">
        <is>
          <t>Sao lưu và khôi phục dữ liệu</t>
        </is>
      </c>
      <c r="C85" s="7" t="inlineStr">
        <is>
          <t>4.11.2.2</t>
        </is>
      </c>
      <c r="D85" s="7" t="inlineStr">
        <is>
          <t>Danh sách dữ liệu cần sao lưu và tần suất theo ngày/tuần/tháng…</t>
        </is>
      </c>
      <c r="E85" s="11" t="inlineStr"/>
      <c r="F85" s="7" t="inlineStr">
        <is>
          <t>Bảng lịch sao lưu</t>
        </is>
      </c>
      <c r="G85" s="7" t="inlineStr"/>
      <c r="H85" s="11" t="inlineStr"/>
      <c r="I85" s="11" t="inlineStr"/>
    </row>
    <row r="86">
      <c r="A86" s="7" t="inlineStr">
        <is>
          <t>4.11</t>
        </is>
      </c>
      <c r="B86" s="7" t="inlineStr">
        <is>
          <t>Sao lưu và khôi phục dữ liệu</t>
        </is>
      </c>
      <c r="C86" s="7" t="inlineStr">
        <is>
          <t>4.11.2.3</t>
        </is>
      </c>
      <c r="D86" s="7" t="inlineStr">
        <is>
          <t>Bảo vệ bản sao lưu: toàn vẹn, sẵn sàng, khôi phục được</t>
        </is>
      </c>
      <c r="E86" s="11" t="inlineStr"/>
      <c r="F86" s="7" t="inlineStr">
        <is>
          <t>Cấu hình bảo vệ</t>
        </is>
      </c>
      <c r="G86" s="7" t="inlineStr"/>
      <c r="H86" s="11" t="inlineStr"/>
      <c r="I86" s="11" t="inlineStr"/>
    </row>
    <row r="87">
      <c r="A87" s="7" t="inlineStr">
        <is>
          <t>4.11</t>
        </is>
      </c>
      <c r="B87" s="7" t="inlineStr">
        <is>
          <t>Sao lưu và khôi phục dữ liệu</t>
        </is>
      </c>
      <c r="C87" s="7" t="inlineStr">
        <is>
          <t>4.11.2.4</t>
        </is>
      </c>
      <c r="D87" s="7" t="inlineStr">
        <is>
          <t>Định danh, quản lý phiên bản bản sao lưu; lưu trên hạ tầng tách biệt môi trường vận hành</t>
        </is>
      </c>
      <c r="E87" s="11" t="inlineStr"/>
      <c r="F87" s="7" t="inlineStr">
        <is>
          <t>Sơ đồ hạ tầng backup</t>
        </is>
      </c>
      <c r="G87" s="7" t="inlineStr">
        <is>
          <t>Mới/khác so với cấp 1</t>
        </is>
      </c>
      <c r="H87" s="11" t="inlineStr"/>
      <c r="I87" s="11" t="inlineStr"/>
    </row>
    <row r="88">
      <c r="A88" s="7" t="inlineStr">
        <is>
          <t>4.12</t>
        </is>
      </c>
      <c r="B88" s="7" t="inlineStr">
        <is>
          <t>Quản lý hạ tầng mạng</t>
        </is>
      </c>
      <c r="C88" s="7" t="inlineStr">
        <is>
          <t>4.12.2.1 a)</t>
        </is>
      </c>
      <c r="D88" s="7" t="inlineStr">
        <is>
          <t>Lập, duy trì sơ đồ kiến trúc mạng và hồ sơ mạng</t>
        </is>
      </c>
      <c r="E88" s="11" t="inlineStr"/>
      <c r="F88" s="7" t="inlineStr">
        <is>
          <t>Sơ đồ mạng; biên bản thẩm tra thiết kế (cấp 4–5)</t>
        </is>
      </c>
      <c r="G88" s="7" t="inlineStr"/>
      <c r="H88" s="11" t="inlineStr"/>
      <c r="I88" s="11" t="inlineStr"/>
    </row>
    <row r="89">
      <c r="A89" s="7" t="inlineStr">
        <is>
          <t>4.12</t>
        </is>
      </c>
      <c r="B89" s="7" t="inlineStr">
        <is>
          <t>Quản lý hạ tầng mạng</t>
        </is>
      </c>
      <c r="C89" s="7" t="inlineStr">
        <is>
          <t>4.12.2.1 b)</t>
        </is>
      </c>
      <c r="D89" s="7" t="inlineStr">
        <is>
          <t>Kiến trúc mạng an toàn theo 3 nguyên tắc: phân vùng, đặc quyền tối thiểu, sẵn sàng</t>
        </is>
      </c>
      <c r="E89" s="11" t="inlineStr"/>
      <c r="F89" s="7" t="inlineStr">
        <is>
          <t>Tài liệu kiến trúc</t>
        </is>
      </c>
      <c r="G89" s="7" t="inlineStr"/>
      <c r="H89" s="11" t="inlineStr"/>
      <c r="I89" s="11" t="inlineStr"/>
    </row>
    <row r="90">
      <c r="A90" s="7" t="inlineStr">
        <is>
          <t>4.12</t>
        </is>
      </c>
      <c r="B90" s="7" t="inlineStr">
        <is>
          <t>Quản lý hạ tầng mạng</t>
        </is>
      </c>
      <c r="C90" s="7" t="inlineStr">
        <is>
          <t>4.12.2.1 c)</t>
        </is>
      </c>
      <c r="D90" s="7" t="inlineStr">
        <is>
          <t>Hồ sơ mạng gồm: tổng quan kiến trúc, sơ đồ chi tiết, tài liệu kỹ thuật, mô tả phương án ANM</t>
        </is>
      </c>
      <c r="E90" s="11" t="inlineStr"/>
      <c r="F90" s="7" t="inlineStr">
        <is>
          <t>Bộ hồ sơ mạng</t>
        </is>
      </c>
      <c r="G90" s="7" t="inlineStr"/>
      <c r="H90" s="11" t="inlineStr"/>
      <c r="I90" s="11" t="inlineStr"/>
    </row>
    <row r="91">
      <c r="A91" s="7" t="inlineStr">
        <is>
          <t>4.12</t>
        </is>
      </c>
      <c r="B91" s="7" t="inlineStr">
        <is>
          <t>Quản lý hạ tầng mạng</t>
        </is>
      </c>
      <c r="C91" s="7" t="inlineStr">
        <is>
          <t>4.12.2.1 d)</t>
        </is>
      </c>
      <c r="D91" s="7" t="inlineStr">
        <is>
          <t>Khi đổi thiết kế, đánh giá lại sự phù hợp với yêu cầu an toàn</t>
        </is>
      </c>
      <c r="E91" s="11" t="inlineStr"/>
      <c r="F91" s="7" t="inlineStr">
        <is>
          <t>Biên bản đánh giá thay đổi</t>
        </is>
      </c>
      <c r="G91" s="7" t="inlineStr">
        <is>
          <t>Mới/khác so với cấp 1</t>
        </is>
      </c>
      <c r="H91" s="11" t="inlineStr"/>
      <c r="I91" s="11" t="inlineStr"/>
    </row>
    <row r="92">
      <c r="A92" s="7" t="inlineStr">
        <is>
          <t>4.12</t>
        </is>
      </c>
      <c r="B92" s="7" t="inlineStr">
        <is>
          <t>Quản lý hạ tầng mạng</t>
        </is>
      </c>
      <c r="C92" s="7" t="inlineStr">
        <is>
          <t>4.12.2.1 e)</t>
        </is>
      </c>
      <c r="D92" s="7" t="inlineStr">
        <is>
          <t>Cập nhật sơ đồ mạng 1 lần/năm hoặc khi thay đổi</t>
        </is>
      </c>
      <c r="E92" s="11" t="inlineStr"/>
      <c r="F92" s="7" t="inlineStr">
        <is>
          <t>Lịch sử phiên bản sơ đồ</t>
        </is>
      </c>
      <c r="G92" s="7" t="inlineStr"/>
      <c r="H92" s="11" t="inlineStr"/>
      <c r="I92" s="11" t="inlineStr"/>
    </row>
    <row r="93">
      <c r="A93" s="7" t="inlineStr">
        <is>
          <t>4.12</t>
        </is>
      </c>
      <c r="B93" s="7" t="inlineStr">
        <is>
          <t>Quản lý hạ tầng mạng</t>
        </is>
      </c>
      <c r="C93" s="7" t="inlineStr">
        <is>
          <t>4.12.2.2 a)</t>
        </is>
      </c>
      <c r="D93" s="7" t="inlineStr">
        <is>
          <t>Có phương án dự phòng cho thiết bị mạng chính</t>
        </is>
      </c>
      <c r="E93" s="11" t="inlineStr"/>
      <c r="F93" s="7" t="inlineStr">
        <is>
          <t>Sơ đồ HA, hợp đồng kênh truyền</t>
        </is>
      </c>
      <c r="G93" s="7" t="inlineStr"/>
      <c r="H93" s="11" t="inlineStr"/>
      <c r="I93" s="11" t="inlineStr"/>
    </row>
    <row r="94">
      <c r="A94" s="7" t="inlineStr">
        <is>
          <t>4.12</t>
        </is>
      </c>
      <c r="B94" s="7" t="inlineStr">
        <is>
          <t>Quản lý hạ tầng mạng</t>
        </is>
      </c>
      <c r="C94" s="7" t="inlineStr">
        <is>
          <t>4.12.2.2 a)</t>
        </is>
      </c>
      <c r="D94" s="7" t="inlineStr">
        <is>
          <t>Tường lửa có IPS (hoặc tương đương) kiểm soát truy cập, chống xâm nhập giữa các vùng mạng</t>
        </is>
      </c>
      <c r="E94" s="11" t="inlineStr"/>
      <c r="F94" s="7" t="inlineStr">
        <is>
          <t>Cấu hình NGFW/IPS</t>
        </is>
      </c>
      <c r="G94" s="7" t="inlineStr"/>
      <c r="H94" s="11" t="inlineStr"/>
      <c r="I94" s="11" t="inlineStr"/>
    </row>
    <row r="95">
      <c r="A95" s="7" t="inlineStr">
        <is>
          <t>4.12</t>
        </is>
      </c>
      <c r="B95" s="7" t="inlineStr">
        <is>
          <t>Quản lý hạ tầng mạng</t>
        </is>
      </c>
      <c r="C95" s="7" t="inlineStr">
        <is>
          <t>4.12.2.2 a)</t>
        </is>
      </c>
      <c r="D95" s="7" t="inlineStr">
        <is>
          <t>WAF (hoặc tương đương) cho ứng dụng web (nếu có)</t>
        </is>
      </c>
      <c r="E95" s="11" t="inlineStr"/>
      <c r="F95" s="7" t="inlineStr">
        <is>
          <t>Cấu hình WAF</t>
        </is>
      </c>
      <c r="G95" s="7" t="inlineStr">
        <is>
          <t>Mới/khác so với cấp 1</t>
        </is>
      </c>
      <c r="H95" s="11" t="inlineStr"/>
      <c r="I95" s="11" t="inlineStr"/>
    </row>
    <row r="96">
      <c r="A96" s="7" t="inlineStr">
        <is>
          <t>4.12</t>
        </is>
      </c>
      <c r="B96" s="7" t="inlineStr">
        <is>
          <t>Quản lý hạ tầng mạng</t>
        </is>
      </c>
      <c r="C96" s="7" t="inlineStr">
        <is>
          <t>4.12.2.2 a)</t>
        </is>
      </c>
      <c r="D96" s="7" t="inlineStr">
        <is>
          <t>Cập nhật định kỳ CSDL nhận diện tấn công cho các giải pháp ANM</t>
        </is>
      </c>
      <c r="E96" s="11" t="inlineStr"/>
      <c r="F96" s="7" t="inlineStr">
        <is>
          <t>Nhật ký cập nhật signature</t>
        </is>
      </c>
      <c r="G96" s="7" t="inlineStr"/>
      <c r="H96" s="11" t="inlineStr"/>
      <c r="I96" s="11" t="inlineStr"/>
    </row>
    <row r="97">
      <c r="A97" s="7" t="inlineStr">
        <is>
          <t>4.12</t>
        </is>
      </c>
      <c r="B97" s="7" t="inlineStr">
        <is>
          <t>Quản lý hạ tầng mạng</t>
        </is>
      </c>
      <c r="C97" s="7" t="inlineStr">
        <is>
          <t>4.12.2.2 a)</t>
        </is>
      </c>
      <c r="D97" s="7" t="inlineStr">
        <is>
          <t>Quản lý thay đổi</t>
        </is>
      </c>
      <c r="E97" s="11" t="inlineStr"/>
      <c r="F97" s="7" t="inlineStr">
        <is>
          <t>Phiếu thay đổi (change request)</t>
        </is>
      </c>
      <c r="G97" s="7" t="inlineStr"/>
      <c r="H97" s="11" t="inlineStr"/>
      <c r="I97" s="11" t="inlineStr"/>
    </row>
    <row r="98">
      <c r="A98" s="7" t="inlineStr">
        <is>
          <t>4.12</t>
        </is>
      </c>
      <c r="B98" s="7" t="inlineStr">
        <is>
          <t>Quản lý hạ tầng mạng</t>
        </is>
      </c>
      <c r="C98" s="7" t="inlineStr">
        <is>
          <t>4.12.2.2 a)</t>
        </is>
      </c>
      <c r="D98" s="7" t="inlineStr">
        <is>
          <t>Theo dõi hiệu năng (CPU, RAM…) để bảo đảm hoạt động bình thường</t>
        </is>
      </c>
      <c r="E98" s="11" t="inlineStr"/>
      <c r="F98" s="7" t="inlineStr">
        <is>
          <t>Dashboard giám sát</t>
        </is>
      </c>
      <c r="G98" s="7" t="inlineStr"/>
      <c r="H98" s="11" t="inlineStr"/>
      <c r="I98" s="11" t="inlineStr"/>
    </row>
    <row r="99">
      <c r="A99" s="7" t="inlineStr">
        <is>
          <t>4.12</t>
        </is>
      </c>
      <c r="B99" s="7" t="inlineStr">
        <is>
          <t>Quản lý hạ tầng mạng</t>
        </is>
      </c>
      <c r="C99" s="7" t="inlineStr">
        <is>
          <t>4.12.2.2 b)</t>
        </is>
      </c>
      <c r="D99" s="7" t="inlineStr">
        <is>
          <t>Phân vùng tối thiểu: máy chủ, DMZ, không dây (nếu có), nội bộ, biên</t>
        </is>
      </c>
      <c r="E99" s="11" t="inlineStr"/>
      <c r="F99" s="7" t="inlineStr">
        <is>
          <t>Sơ đồ phân vùng, ACL giữa vùng</t>
        </is>
      </c>
      <c r="G99" s="7" t="inlineStr">
        <is>
          <t>Mới/khác so với cấp 1</t>
        </is>
      </c>
      <c r="H99" s="11" t="inlineStr"/>
      <c r="I99" s="11" t="inlineStr"/>
    </row>
    <row r="100">
      <c r="A100" s="7" t="inlineStr">
        <is>
          <t>4.12</t>
        </is>
      </c>
      <c r="B100" s="7" t="inlineStr">
        <is>
          <t>Quản lý hạ tầng mạng</t>
        </is>
      </c>
      <c r="C100" s="7" t="inlineStr">
        <is>
          <t>4.12.2.3 a)</t>
        </is>
      </c>
      <c r="D100" s="7" t="inlineStr">
        <is>
          <t>Lập kế hoạch và quy trình kiểm thử, nghiệm thu (nêu rõ nội dung cần thử)</t>
        </is>
      </c>
      <c r="E100" s="11" t="inlineStr"/>
      <c r="F100" s="7" t="inlineStr">
        <is>
          <t>Kế hoạch thử nghiệm</t>
        </is>
      </c>
      <c r="G100" s="7" t="inlineStr"/>
      <c r="H100" s="11" t="inlineStr"/>
      <c r="I100" s="11" t="inlineStr"/>
    </row>
    <row r="101">
      <c r="A101" s="7" t="inlineStr">
        <is>
          <t>4.12</t>
        </is>
      </c>
      <c r="B101" s="7" t="inlineStr">
        <is>
          <t>Quản lý hạ tầng mạng</t>
        </is>
      </c>
      <c r="C101" s="7" t="inlineStr">
        <is>
          <t>4.12.2.3 b)</t>
        </is>
      </c>
      <c r="D101" s="7" t="inlineStr">
        <is>
          <t>Kiểm thử hệ thống trước khi đưa vào vận hành</t>
        </is>
      </c>
      <c r="E101" s="11" t="inlineStr"/>
      <c r="F101" s="7" t="inlineStr">
        <is>
          <t>Báo cáo kiểm thử</t>
        </is>
      </c>
      <c r="G101" s="7" t="inlineStr"/>
      <c r="H101" s="11" t="inlineStr"/>
      <c r="I101" s="11" t="inlineStr"/>
    </row>
    <row r="102">
      <c r="A102" s="7" t="inlineStr">
        <is>
          <t>4.12</t>
        </is>
      </c>
      <c r="B102" s="7" t="inlineStr">
        <is>
          <t>Quản lý hạ tầng mạng</t>
        </is>
      </c>
      <c r="C102" s="7" t="inlineStr">
        <is>
          <t>4.12.2.3 c)</t>
        </is>
      </c>
      <c r="D102" s="7" t="inlineStr">
        <is>
          <t>Có nhân sự phụ trách thử nghiệm, nghiệm thu</t>
        </is>
      </c>
      <c r="E102" s="11" t="inlineStr"/>
      <c r="F102" s="7" t="inlineStr">
        <is>
          <t>Quyết định phân công</t>
        </is>
      </c>
      <c r="G102" s="7" t="inlineStr"/>
      <c r="H102" s="11" t="inlineStr"/>
      <c r="I102" s="11" t="inlineStr"/>
    </row>
    <row r="103">
      <c r="A103" s="7" t="inlineStr">
        <is>
          <t>4.12</t>
        </is>
      </c>
      <c r="B103" s="7" t="inlineStr">
        <is>
          <t>Quản lý hạ tầng mạng</t>
        </is>
      </c>
      <c r="C103" s="7" t="inlineStr">
        <is>
          <t>4.12.2.4 a)</t>
        </is>
      </c>
      <c r="D103" s="7" t="inlineStr">
        <is>
          <t>Chỉ cho phép kết nối an toàn (nếu hỗ trợ) khi truy cập nội bộ hoặc quản trị từ xa</t>
        </is>
      </c>
      <c r="E103" s="11" t="inlineStr"/>
      <c r="F103" s="7" t="inlineStr">
        <is>
          <t>Cấu hình SSH/TLS, tắt Telnet/HTTP</t>
        </is>
      </c>
      <c r="G103" s="7" t="inlineStr"/>
      <c r="H103" s="11" t="inlineStr"/>
      <c r="I103" s="11" t="inlineStr"/>
    </row>
    <row r="104">
      <c r="A104" s="7" t="inlineStr">
        <is>
          <t>4.12</t>
        </is>
      </c>
      <c r="B104" s="7" t="inlineStr">
        <is>
          <t>Quản lý hạ tầng mạng</t>
        </is>
      </c>
      <c r="C104" s="7" t="inlineStr">
        <is>
          <t>4.12.2.4 b)</t>
        </is>
      </c>
      <c r="D104" s="7" t="inlineStr">
        <is>
          <t>Kiểm soát truy cập từ ngoài vào theo từng dịch vụ; chặn mọi truy cập không được phép</t>
        </is>
      </c>
      <c r="E104" s="11" t="inlineStr"/>
      <c r="F104" s="7" t="inlineStr">
        <is>
          <t>Rule firewall</t>
        </is>
      </c>
      <c r="G104" s="7" t="inlineStr"/>
      <c r="H104" s="11" t="inlineStr"/>
      <c r="I104" s="11" t="inlineStr"/>
    </row>
    <row r="105">
      <c r="A105" s="7" t="inlineStr">
        <is>
          <t>4.12</t>
        </is>
      </c>
      <c r="B105" s="7" t="inlineStr">
        <is>
          <t>Quản lý hạ tầng mạng</t>
        </is>
      </c>
      <c r="C105" s="7" t="inlineStr">
        <is>
          <t>4.12.2.4 c)</t>
        </is>
      </c>
      <c r="D105" s="7" t="inlineStr">
        <is>
          <t>Giới hạn dải địa chỉ/thiết bị được phép quản trị từ xa</t>
        </is>
      </c>
      <c r="E105" s="11" t="inlineStr"/>
      <c r="F105" s="7" t="inlineStr">
        <is>
          <t>ACL quản trị</t>
        </is>
      </c>
      <c r="G105" s="7" t="inlineStr">
        <is>
          <t>Mới/khác so với cấp 1</t>
        </is>
      </c>
      <c r="H105" s="11" t="inlineStr"/>
      <c r="I105" s="11" t="inlineStr"/>
    </row>
    <row r="106">
      <c r="A106" s="7" t="inlineStr">
        <is>
          <t>4.12</t>
        </is>
      </c>
      <c r="B106" s="7" t="inlineStr">
        <is>
          <t>Quản lý hạ tầng mạng</t>
        </is>
      </c>
      <c r="C106" s="7" t="inlineStr">
        <is>
          <t>4.12.2.4 d)</t>
        </is>
      </c>
      <c r="D106" s="7" t="inlineStr">
        <is>
          <t>Đặt timeout tự đóng phiên kết nối không hoạt động</t>
        </is>
      </c>
      <c r="E106" s="11" t="inlineStr"/>
      <c r="F106" s="7" t="inlineStr">
        <is>
          <t>Cấu hình timeout</t>
        </is>
      </c>
      <c r="G106" s="7" t="inlineStr"/>
      <c r="H106" s="11" t="inlineStr"/>
      <c r="I106" s="11" t="inlineStr"/>
    </row>
    <row r="107">
      <c r="A107" s="7" t="inlineStr">
        <is>
          <t>4.12</t>
        </is>
      </c>
      <c r="B107" s="7" t="inlineStr">
        <is>
          <t>Quản lý hạ tầng mạng</t>
        </is>
      </c>
      <c r="C107" s="7" t="inlineStr">
        <is>
          <t>4.12.2.5</t>
        </is>
      </c>
      <c r="D107" s="7" t="inlineStr">
        <is>
          <t>Truy cập từ xa của quản trị viên, người dùng tác nghiệp qua VPN (hoặc tương đương) có xác thực</t>
        </is>
      </c>
      <c r="E107" s="11" t="inlineStr"/>
      <c r="F107" s="7" t="inlineStr">
        <is>
          <t>Cấu hình VPN/ZTNA</t>
        </is>
      </c>
      <c r="G107" s="7" t="inlineStr"/>
      <c r="H107" s="11" t="inlineStr"/>
      <c r="I107" s="11" t="inlineStr"/>
    </row>
    <row r="108">
      <c r="A108" s="7" t="inlineStr">
        <is>
          <t>4.12</t>
        </is>
      </c>
      <c r="B108" s="7" t="inlineStr">
        <is>
          <t>Quản lý hạ tầng mạng</t>
        </is>
      </c>
      <c r="C108" s="7" t="inlineStr">
        <is>
          <t>4.12.2.5</t>
        </is>
      </c>
      <c r="D108" s="7" t="inlineStr">
        <is>
          <t>Xác thực khi kết nối từ xa và xác thực bổ sung trước khi vào hệ thống</t>
        </is>
      </c>
      <c r="E108" s="11" t="inlineStr"/>
      <c r="F108" s="7" t="inlineStr">
        <is>
          <t>Cấu hình MFA VPN</t>
        </is>
      </c>
      <c r="G108" s="7" t="inlineStr">
        <is>
          <t>Mới/khác so với cấp 1</t>
        </is>
      </c>
      <c r="H108" s="11" t="inlineStr"/>
      <c r="I108" s="11" t="inlineStr"/>
    </row>
    <row r="109">
      <c r="A109" s="7" t="inlineStr">
        <is>
          <t>4.12</t>
        </is>
      </c>
      <c r="B109" s="7" t="inlineStr">
        <is>
          <t>Quản lý hạ tầng mạng</t>
        </is>
      </c>
      <c r="C109" s="7" t="inlineStr">
        <is>
          <t>4.12.2.5</t>
        </is>
      </c>
      <c r="D109" s="7" t="inlineStr">
        <is>
          <t>Thiết bị truy cập từ xa phải có chống mã độc và cấu hình theo chính sách của tổ chức</t>
        </is>
      </c>
      <c r="E109" s="11" t="inlineStr"/>
      <c r="F109" s="7" t="inlineStr">
        <is>
          <t>Chính sách posture check</t>
        </is>
      </c>
      <c r="G109" s="7" t="inlineStr">
        <is>
          <t>Mới/khác so với cấp 1</t>
        </is>
      </c>
      <c r="H109" s="11" t="inlineStr"/>
      <c r="I109" s="11" t="inlineStr"/>
    </row>
    <row r="110">
      <c r="A110" s="7" t="inlineStr">
        <is>
          <t>4.12</t>
        </is>
      </c>
      <c r="B110" s="7" t="inlineStr">
        <is>
          <t>Quản lý hạ tầng mạng</t>
        </is>
      </c>
      <c r="C110" s="7" t="inlineStr">
        <is>
          <t>4.12.2.5</t>
        </is>
      </c>
      <c r="D110" s="7" t="inlineStr">
        <is>
          <t>Chỉ cho phép một số địa chỉ được quản trị thiết bị từ xa (nếu hỗ trợ)</t>
        </is>
      </c>
      <c r="E110" s="11" t="inlineStr"/>
      <c r="F110" s="7" t="inlineStr">
        <is>
          <t>ACL quản trị</t>
        </is>
      </c>
      <c r="G110" s="7" t="inlineStr">
        <is>
          <t>Mới/khác so với cấp 1</t>
        </is>
      </c>
      <c r="H110" s="11" t="inlineStr"/>
      <c r="I110" s="11" t="inlineStr"/>
    </row>
    <row r="111">
      <c r="A111" s="7" t="inlineStr">
        <is>
          <t>4.13</t>
        </is>
      </c>
      <c r="B111" s="7" t="inlineStr">
        <is>
          <t>Nhân sự vận hành, quản trị, bảo vệ an ninh mạng</t>
        </is>
      </c>
      <c r="C111" s="7" t="inlineStr">
        <is>
          <t>4.13.1 a)</t>
        </is>
      </c>
      <c r="D111" s="7" t="inlineStr">
        <is>
          <t>Các bộ phận vận hành, quản trị, bảo vệ ANM độc lập về chuyên môn</t>
        </is>
      </c>
      <c r="E111" s="11" t="inlineStr"/>
      <c r="F111" s="7" t="inlineStr">
        <is>
          <t>Quy chế phân định nhiệm vụ</t>
        </is>
      </c>
      <c r="G111" s="7" t="inlineStr">
        <is>
          <t>Mới/khác so với cấp 1</t>
        </is>
      </c>
      <c r="H111" s="11" t="inlineStr"/>
      <c r="I111" s="11" t="inlineStr"/>
    </row>
    <row r="112">
      <c r="A112" s="7" t="inlineStr">
        <is>
          <t>4.13</t>
        </is>
      </c>
      <c r="B112" s="7" t="inlineStr">
        <is>
          <t>Nhân sự vận hành, quản trị, bảo vệ an ninh mạng</t>
        </is>
      </c>
      <c r="C112" s="7" t="inlineStr">
        <is>
          <t>4.13.2.1 a)</t>
        </is>
      </c>
      <c r="D112" s="7" t="inlineStr">
        <is>
          <t>Phân công người phụ trách vận hành, quản trị và bảo vệ ANM cho hệ thống</t>
        </is>
      </c>
      <c r="E112" s="11" t="inlineStr"/>
      <c r="F112" s="7" t="inlineStr">
        <is>
          <t>Quyết định phân công</t>
        </is>
      </c>
      <c r="G112" s="7" t="inlineStr"/>
      <c r="H112" s="11" t="inlineStr"/>
      <c r="I112" s="11" t="inlineStr"/>
    </row>
    <row r="113">
      <c r="A113" s="7" t="inlineStr">
        <is>
          <t>4.13</t>
        </is>
      </c>
      <c r="B113" s="7" t="inlineStr">
        <is>
          <t>Nhân sự vận hành, quản trị, bảo vệ an ninh mạng</t>
        </is>
      </c>
      <c r="C113" s="7" t="inlineStr">
        <is>
          <t>4.13.2.1 b)</t>
        </is>
      </c>
      <c r="D113" s="7" t="inlineStr">
        <is>
          <t>Nhân sự có trình độ ANM/CNTT; ký cam kết bảo mật trong và sau khi nghỉ việc</t>
        </is>
      </c>
      <c r="E113" s="11" t="inlineStr"/>
      <c r="F113" s="7" t="inlineStr">
        <is>
          <t>Hồ sơ năng lực, cam kết bảo mật</t>
        </is>
      </c>
      <c r="G113" s="7" t="inlineStr"/>
      <c r="H113" s="11" t="inlineStr"/>
      <c r="I113" s="11" t="inlineStr"/>
    </row>
    <row r="114">
      <c r="A114" s="7" t="inlineStr">
        <is>
          <t>4.13</t>
        </is>
      </c>
      <c r="B114" s="7" t="inlineStr">
        <is>
          <t>Nhân sự vận hành, quản trị, bảo vệ an ninh mạng</t>
        </is>
      </c>
      <c r="C114" s="7" t="inlineStr">
        <is>
          <t>4.13.2.2 a)</t>
        </is>
      </c>
      <c r="D114" s="7" t="inlineStr">
        <is>
          <t>Chương trình nâng cao nhận thức ANM cho mọi người dùng HTTT</t>
        </is>
      </c>
      <c r="E114" s="11" t="inlineStr"/>
      <c r="F114" s="7" t="inlineStr">
        <is>
          <t>Tài liệu, danh sách tham dự</t>
        </is>
      </c>
      <c r="G114" s="7" t="inlineStr"/>
      <c r="H114" s="11" t="inlineStr"/>
      <c r="I114" s="11" t="inlineStr"/>
    </row>
    <row r="115">
      <c r="A115" s="7" t="inlineStr">
        <is>
          <t>4.13</t>
        </is>
      </c>
      <c r="B115" s="7" t="inlineStr">
        <is>
          <t>Nhân sự vận hành, quản trị, bảo vệ an ninh mạng</t>
        </is>
      </c>
      <c r="C115" s="7" t="inlineStr">
        <is>
          <t>4.13.2.2 b)</t>
        </is>
      </c>
      <c r="D115" s="7" t="inlineStr">
        <is>
          <t>Đào tạo nhận thức ≥ 1 lần/năm</t>
        </is>
      </c>
      <c r="E115" s="11" t="inlineStr"/>
      <c r="F115" s="7" t="inlineStr">
        <is>
          <t>Danh sách, bài kiểm tra</t>
        </is>
      </c>
      <c r="G115" s="7" t="inlineStr"/>
      <c r="H115" s="11" t="inlineStr"/>
      <c r="I115" s="11" t="inlineStr"/>
    </row>
    <row r="116">
      <c r="A116" s="7" t="inlineStr">
        <is>
          <t>4.13</t>
        </is>
      </c>
      <c r="B116" s="7" t="inlineStr">
        <is>
          <t>Nhân sự vận hành, quản trị, bảo vệ an ninh mạng</t>
        </is>
      </c>
      <c r="C116" s="7" t="inlineStr">
        <is>
          <t>4.13.2.2 c)</t>
        </is>
      </c>
      <c r="D116" s="7" t="inlineStr">
        <is>
          <t>Thu hồi thẻ, dữ liệu, thiết bị, tài sản khi nghỉ hoặc chuyển việc</t>
        </is>
      </c>
      <c r="E116" s="11" t="inlineStr"/>
      <c r="F116" s="7" t="inlineStr">
        <is>
          <t>Biên bản bàn giao</t>
        </is>
      </c>
      <c r="G116" s="7" t="inlineStr"/>
      <c r="H116" s="11" t="inlineStr"/>
      <c r="I116" s="11" t="inlineStr"/>
    </row>
    <row r="117">
      <c r="A117" s="7" t="inlineStr">
        <is>
          <t>4.13</t>
        </is>
      </c>
      <c r="B117" s="7" t="inlineStr">
        <is>
          <t>Nhân sự vận hành, quản trị, bảo vệ an ninh mạng</t>
        </is>
      </c>
      <c r="C117" s="7" t="inlineStr">
        <is>
          <t>4.13.2.2 d)</t>
        </is>
      </c>
      <c r="D117" s="7" t="inlineStr">
        <is>
          <t>Quy trình vô hiệu hóa mọi quyền ra vào, truy cập, quản trị khi thôi việc</t>
        </is>
      </c>
      <c r="E117" s="11" t="inlineStr"/>
      <c r="F117" s="7" t="inlineStr">
        <is>
          <t>Quy trình offboarding, log vô hiệu</t>
        </is>
      </c>
      <c r="G117" s="7" t="inlineStr">
        <is>
          <t>Mới/khác so với cấp 1</t>
        </is>
      </c>
      <c r="H117" s="11" t="inlineStr"/>
      <c r="I117" s="11" t="inlineStr"/>
    </row>
    <row r="118">
      <c r="A118" s="7" t="inlineStr">
        <is>
          <t>4.14</t>
        </is>
      </c>
      <c r="B118" s="7" t="inlineStr">
        <is>
          <t>Quản lý nhà cung cấp sản phẩm, dịch vụ</t>
        </is>
      </c>
      <c r="C118" s="7" t="inlineStr">
        <is>
          <t>4.14.1</t>
        </is>
      </c>
      <c r="D118" s="7" t="inlineStr">
        <is>
          <t>Quy trình đánh giá nhà cung cấp dịch vụ ANM, lưu trữ/xử lý dữ liệu nhạy cảm, nền tảng quan trọng</t>
        </is>
      </c>
      <c r="E118" s="11" t="inlineStr"/>
      <c r="F118" s="7" t="inlineStr">
        <is>
          <t>Quy trình đánh giá NCC</t>
        </is>
      </c>
      <c r="G118" s="7" t="inlineStr"/>
      <c r="H118" s="11" t="inlineStr"/>
      <c r="I118" s="11" t="inlineStr"/>
    </row>
    <row r="119">
      <c r="A119" s="7" t="inlineStr">
        <is>
          <t>4.14</t>
        </is>
      </c>
      <c r="B119" s="7" t="inlineStr">
        <is>
          <t>Quản lý nhà cung cấp sản phẩm, dịch vụ</t>
        </is>
      </c>
      <c r="C119" s="7" t="inlineStr">
        <is>
          <t>4.14.2</t>
        </is>
      </c>
      <c r="D119" s="7" t="inlineStr">
        <is>
          <t>Danh sách nhà cung cấp, theo dõi trạng thái</t>
        </is>
      </c>
      <c r="E119" s="11" t="inlineStr"/>
      <c r="F119" s="7" t="inlineStr">
        <is>
          <t>Danh sách NCC</t>
        </is>
      </c>
      <c r="G119" s="7" t="inlineStr"/>
      <c r="H119" s="11" t="inlineStr"/>
      <c r="I119" s="11" t="inlineStr"/>
    </row>
    <row r="120">
      <c r="A120" s="7" t="inlineStr">
        <is>
          <t>4.14</t>
        </is>
      </c>
      <c r="B120" s="7" t="inlineStr">
        <is>
          <t>Quản lý nhà cung cấp sản phẩm, dịch vụ</t>
        </is>
      </c>
      <c r="C120" s="7" t="inlineStr">
        <is>
          <t>4.14.2</t>
        </is>
      </c>
      <c r="D120" s="7" t="inlineStr">
        <is>
          <t>Phân loại nhà cung cấp</t>
        </is>
      </c>
      <c r="E120" s="11" t="inlineStr"/>
      <c r="F120" s="7" t="inlineStr">
        <is>
          <t>Tiêu chí phân loại</t>
        </is>
      </c>
      <c r="G120" s="7" t="inlineStr"/>
      <c r="H120" s="11" t="inlineStr"/>
      <c r="I120" s="11" t="inlineStr"/>
    </row>
    <row r="121">
      <c r="A121" s="7" t="inlineStr">
        <is>
          <t>4.14</t>
        </is>
      </c>
      <c r="B121" s="7" t="inlineStr">
        <is>
          <t>Quản lý nhà cung cấp sản phẩm, dịch vụ</t>
        </is>
      </c>
      <c r="C121" s="7" t="inlineStr">
        <is>
          <t>4.14.2</t>
        </is>
      </c>
      <c r="D121" s="7" t="inlineStr">
        <is>
          <t>Văn bản phân định phạm vi trách nhiệm giữa nhà cung cấp và tổ chức</t>
        </is>
      </c>
      <c r="E121" s="11" t="inlineStr"/>
      <c r="F121" s="7" t="inlineStr">
        <is>
          <t>Hợp đồng/SLA/ma trận RACI</t>
        </is>
      </c>
      <c r="G121" s="7" t="inlineStr"/>
      <c r="H121" s="11" t="inlineStr"/>
      <c r="I121" s="11" t="inlineStr"/>
    </row>
    <row r="122">
      <c r="A122" s="7" t="inlineStr">
        <is>
          <t>4.14</t>
        </is>
      </c>
      <c r="B122" s="7" t="inlineStr">
        <is>
          <t>Quản lý nhà cung cấp sản phẩm, dịch vụ</t>
        </is>
      </c>
      <c r="C122" s="7" t="inlineStr">
        <is>
          <t>4.14.2</t>
        </is>
      </c>
      <c r="D122" s="7" t="inlineStr">
        <is>
          <t>Cập nhật danh sách nhà cung cấp ≥ 1 lần/năm hoặc khi thay đổi</t>
        </is>
      </c>
      <c r="E122" s="11" t="inlineStr"/>
      <c r="F122" s="7" t="inlineStr">
        <is>
          <t>Ngày cập nhật</t>
        </is>
      </c>
      <c r="G122" s="7" t="inlineStr"/>
      <c r="H122" s="11" t="inlineStr"/>
      <c r="I122" s="11" t="inlineStr"/>
    </row>
    <row r="123">
      <c r="A123" s="7" t="inlineStr">
        <is>
          <t>4.15</t>
        </is>
      </c>
      <c r="B123" s="7" t="inlineStr">
        <is>
          <t>Quản trị ứng phó sự cố an ninh mạng</t>
        </is>
      </c>
      <c r="C123" s="7" t="inlineStr">
        <is>
          <t>4.15.1</t>
        </is>
      </c>
      <c r="D123" s="7" t="inlineStr">
        <is>
          <t>Chính sách/quy trình sự cố gồm: phân nhóm; tiếp nhận–phân loại–xử lý ban đầu; kế hoạch ứng phó; giám sát cảnh báo; quy trình sự cố thường và nghiêm trọng; cơ chế phối hợp</t>
        </is>
      </c>
      <c r="E123" s="11" t="inlineStr"/>
      <c r="F123" s="7" t="inlineStr">
        <is>
          <t>Kế hoạch ứng phó sự cố</t>
        </is>
      </c>
      <c r="G123" s="7" t="inlineStr">
        <is>
          <t>Mới/khác so với cấp 1</t>
        </is>
      </c>
      <c r="H123" s="11" t="inlineStr"/>
      <c r="I123" s="11" t="inlineStr"/>
    </row>
    <row r="124">
      <c r="A124" s="7" t="inlineStr">
        <is>
          <t>4.15</t>
        </is>
      </c>
      <c r="B124" s="7" t="inlineStr">
        <is>
          <t>Quản trị ứng phó sự cố an ninh mạng</t>
        </is>
      </c>
      <c r="C124" s="7" t="inlineStr">
        <is>
          <t>4.15.2.1 a)</t>
        </is>
      </c>
      <c r="D124" s="7" t="inlineStr">
        <is>
          <t>Chỉ định người chủ chốt và ít nhất một người dự phòng quản lý ứng phó sự cố</t>
        </is>
      </c>
      <c r="E124" s="11" t="inlineStr"/>
      <c r="F124" s="7" t="inlineStr">
        <is>
          <t>Quyết định phân công</t>
        </is>
      </c>
      <c r="G124" s="7" t="inlineStr"/>
      <c r="H124" s="11" t="inlineStr"/>
      <c r="I124" s="11" t="inlineStr"/>
    </row>
    <row r="125">
      <c r="A125" s="7" t="inlineStr">
        <is>
          <t>4.15</t>
        </is>
      </c>
      <c r="B125" s="7" t="inlineStr">
        <is>
          <t>Quản trị ứng phó sự cố an ninh mạng</t>
        </is>
      </c>
      <c r="C125" s="7" t="inlineStr">
        <is>
          <t>4.15.2.1 b)</t>
        </is>
      </c>
      <c r="D125" s="7" t="inlineStr">
        <is>
          <t>Đầu mối phối hợp với cơ quan quản lý nhà nước về ANM và cơ quan điều hành Liên minh ứng phó sự cố quốc gia</t>
        </is>
      </c>
      <c r="E125" s="11" t="inlineStr"/>
      <c r="F125" s="7" t="inlineStr">
        <is>
          <t>Danh bạ đầu mối, văn bản đăng ký</t>
        </is>
      </c>
      <c r="G125" s="7" t="inlineStr">
        <is>
          <t>Mới/khác so với cấp 1</t>
        </is>
      </c>
      <c r="H125" s="11" t="inlineStr"/>
      <c r="I125" s="11" t="inlineStr"/>
    </row>
    <row r="126">
      <c r="A126" s="7" t="inlineStr">
        <is>
          <t>4.15</t>
        </is>
      </c>
      <c r="B126" s="7" t="inlineStr">
        <is>
          <t>Quản trị ứng phó sự cố an ninh mạng</t>
        </is>
      </c>
      <c r="C126" s="7" t="inlineStr">
        <is>
          <t>4.15.2.1 c)</t>
        </is>
      </c>
      <c r="D126" s="7" t="inlineStr">
        <is>
          <t>Đầu mối tiếp nhận báo cáo sự cố; xác minh thông tin liên hệ hằng năm</t>
        </is>
      </c>
      <c r="E126" s="11" t="inlineStr"/>
      <c r="F126" s="7" t="inlineStr">
        <is>
          <t>Danh bạ có ngày xác minh</t>
        </is>
      </c>
      <c r="G126" s="7" t="inlineStr"/>
      <c r="H126" s="11" t="inlineStr"/>
      <c r="I126" s="11" t="inlineStr"/>
    </row>
    <row r="127">
      <c r="A127" s="7" t="inlineStr">
        <is>
          <t>4.15</t>
        </is>
      </c>
      <c r="B127" s="7" t="inlineStr">
        <is>
          <t>Quản trị ứng phó sự cố an ninh mạng</t>
        </is>
      </c>
      <c r="C127" s="7" t="inlineStr">
        <is>
          <t>4.15.2.1 d)</t>
        </is>
      </c>
      <c r="D127" s="7" t="inlineStr">
        <is>
          <t>Phân công vai trò, trách nhiệm từng thành viên đội ứng phó</t>
        </is>
      </c>
      <c r="E127" s="11" t="inlineStr"/>
      <c r="F127" s="7" t="inlineStr">
        <is>
          <t>Bảng RACI đội ứng phó</t>
        </is>
      </c>
      <c r="G127" s="7" t="inlineStr"/>
      <c r="H127" s="11" t="inlineStr"/>
      <c r="I127" s="11" t="inlineStr"/>
    </row>
    <row r="128">
      <c r="A128" s="7" t="inlineStr">
        <is>
          <t>4.15</t>
        </is>
      </c>
      <c r="B128" s="7" t="inlineStr">
        <is>
          <t>Quản trị ứng phó sự cố an ninh mạng</t>
        </is>
      </c>
      <c r="C128" s="7" t="inlineStr">
        <is>
          <t>4.15.2.1 e)</t>
        </is>
      </c>
      <c r="D128" s="7" t="inlineStr">
        <is>
          <t>Quy định trách nhiệm phối hợp của các phòng ban với đội ứng phó</t>
        </is>
      </c>
      <c r="E128" s="11" t="inlineStr"/>
      <c r="F128" s="7" t="inlineStr">
        <is>
          <t>Quy chế phối hợp</t>
        </is>
      </c>
      <c r="G128" s="7" t="inlineStr"/>
      <c r="H128" s="11" t="inlineStr"/>
      <c r="I128" s="11" t="inlineStr"/>
    </row>
    <row r="129">
      <c r="A129" s="7" t="inlineStr">
        <is>
          <t>4.15</t>
        </is>
      </c>
      <c r="B129" s="7" t="inlineStr">
        <is>
          <t>Quản trị ứng phó sự cố an ninh mạng</t>
        </is>
      </c>
      <c r="C129" s="7" t="inlineStr">
        <is>
          <t>4.15.2.2 a)</t>
        </is>
      </c>
      <c r="D129" s="7" t="inlineStr">
        <is>
          <t>Quy trình báo cáo sự cố nội bộ</t>
        </is>
      </c>
      <c r="E129" s="11" t="inlineStr"/>
      <c r="F129" s="7" t="inlineStr">
        <is>
          <t>Quy trình, mẫu báo cáo</t>
        </is>
      </c>
      <c r="G129" s="7" t="inlineStr"/>
      <c r="H129" s="11" t="inlineStr"/>
      <c r="I129" s="11" t="inlineStr"/>
    </row>
    <row r="130">
      <c r="A130" s="7" t="inlineStr">
        <is>
          <t>4.15</t>
        </is>
      </c>
      <c r="B130" s="7" t="inlineStr">
        <is>
          <t>Quản trị ứng phó sự cố an ninh mạng</t>
        </is>
      </c>
      <c r="C130" s="7" t="inlineStr">
        <is>
          <t>4.15.2.2 b)</t>
        </is>
      </c>
      <c r="D130" s="7" t="inlineStr">
        <is>
          <t>Phân nhóm sự cố ANM</t>
        </is>
      </c>
      <c r="E130" s="11" t="inlineStr"/>
      <c r="F130" s="7" t="inlineStr">
        <is>
          <t>Bảng phân loại sự cố</t>
        </is>
      </c>
      <c r="G130" s="7" t="inlineStr"/>
      <c r="H130" s="11" t="inlineStr"/>
      <c r="I130" s="11" t="inlineStr"/>
    </row>
    <row r="131">
      <c r="A131" s="7" t="inlineStr">
        <is>
          <t>4.15</t>
        </is>
      </c>
      <c r="B131" s="7" t="inlineStr">
        <is>
          <t>Quản trị ứng phó sự cố an ninh mạng</t>
        </is>
      </c>
      <c r="C131" s="7" t="inlineStr">
        <is>
          <t>4.15.2.2 c)</t>
        </is>
      </c>
      <c r="D131" s="7" t="inlineStr">
        <is>
          <t>Cập nhật quy trình báo cáo ≥ 1 lần/năm hoặc khi thay đổi</t>
        </is>
      </c>
      <c r="E131" s="11" t="inlineStr"/>
      <c r="F131" s="7" t="inlineStr">
        <is>
          <t>Lịch sử phiên bản</t>
        </is>
      </c>
      <c r="G131" s="7" t="inlineStr"/>
      <c r="H131" s="11" t="inlineStr"/>
      <c r="I131" s="11" t="inlineStr"/>
    </row>
    <row r="132">
      <c r="A132" s="7" t="inlineStr">
        <is>
          <t>4.15</t>
        </is>
      </c>
      <c r="B132" s="7" t="inlineStr">
        <is>
          <t>Quản trị ứng phó sự cố an ninh mạng</t>
        </is>
      </c>
      <c r="C132" s="7" t="inlineStr">
        <is>
          <t>4.15.2.3 a)</t>
        </is>
      </c>
      <c r="D132" s="7" t="inlineStr">
        <is>
          <t>Quy trình ứng phó có cơ chế phối hợp với cơ quan chức năng, chuyên gia, nhà cung cấp dịch vụ</t>
        </is>
      </c>
      <c r="E132" s="11" t="inlineStr"/>
      <c r="F132" s="7" t="inlineStr">
        <is>
          <t>Quy trình ứng phó</t>
        </is>
      </c>
      <c r="G132" s="7" t="inlineStr"/>
      <c r="H132" s="11" t="inlineStr"/>
      <c r="I132" s="11" t="inlineStr"/>
    </row>
    <row r="133">
      <c r="A133" s="7" t="inlineStr">
        <is>
          <t>4.15</t>
        </is>
      </c>
      <c r="B133" s="7" t="inlineStr">
        <is>
          <t>Quản trị ứng phó sự cố an ninh mạng</t>
        </is>
      </c>
      <c r="C133" s="7" t="inlineStr">
        <is>
          <t>4.15.2.3 b)</t>
        </is>
      </c>
      <c r="D133" s="7" t="inlineStr">
        <is>
          <t>Cập nhật quy trình ứng phó ≥ 1 lần/năm hoặc khi thay đổi</t>
        </is>
      </c>
      <c r="E133" s="11" t="inlineStr"/>
      <c r="F133" s="7" t="inlineStr">
        <is>
          <t>Lịch sử phiên bản</t>
        </is>
      </c>
      <c r="G133" s="7" t="inlineStr"/>
      <c r="H133" s="11" t="inlineStr"/>
      <c r="I133" s="11" t="inlineStr"/>
    </row>
  </sheetData>
  <autoFilter ref="A4:I133"/>
  <conditionalFormatting sqref="E5:E133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33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3 (TCVN 14423:2026 mục 5)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5.1</t>
        </is>
      </c>
      <c r="B5" s="7" t="inlineStr">
        <is>
          <t>Quản lý rủi ro an ninh mạng</t>
        </is>
      </c>
      <c r="C5" s="7" t="inlineStr">
        <is>
          <t>5.1.2.1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5.1</t>
        </is>
      </c>
      <c r="B6" s="7" t="inlineStr">
        <is>
          <t>Quản lý rủi ro an ninh mạng</t>
        </is>
      </c>
      <c r="C6" s="7" t="inlineStr">
        <is>
          <t>5.1.2.1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5.1</t>
        </is>
      </c>
      <c r="B7" s="7" t="inlineStr">
        <is>
          <t>Quản lý rủi ro an ninh mạng</t>
        </is>
      </c>
      <c r="C7" s="7" t="inlineStr">
        <is>
          <t>5.1.2.2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>
        <is>
          <t>Mới/khác so với cấp 2</t>
        </is>
      </c>
      <c r="H7" s="11" t="inlineStr"/>
      <c r="I7" s="11" t="inlineStr"/>
    </row>
    <row r="8">
      <c r="A8" s="7" t="inlineStr">
        <is>
          <t>5.1</t>
        </is>
      </c>
      <c r="B8" s="7" t="inlineStr">
        <is>
          <t>Quản lý rủi ro an ninh mạng</t>
        </is>
      </c>
      <c r="C8" s="7" t="inlineStr">
        <is>
          <t>5.1.2.2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>
        <is>
          <t>Mới/khác so với cấp 2</t>
        </is>
      </c>
      <c r="H8" s="11" t="inlineStr"/>
      <c r="I8" s="11" t="inlineStr"/>
    </row>
    <row r="9">
      <c r="A9" s="7" t="inlineStr">
        <is>
          <t>5.1</t>
        </is>
      </c>
      <c r="B9" s="7" t="inlineStr">
        <is>
          <t>Quản lý rủi ro an ninh mạng</t>
        </is>
      </c>
      <c r="C9" s="7" t="inlineStr">
        <is>
          <t>5.1.2.2 c)</t>
        </is>
      </c>
      <c r="D9" s="7" t="inlineStr">
        <is>
          <t>Lặp lại nhận diện rủi ro ≥ 1 lần/năm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>
        <is>
          <t>Mới/khác so với cấp 2</t>
        </is>
      </c>
      <c r="H9" s="11" t="inlineStr"/>
      <c r="I9" s="11" t="inlineStr"/>
    </row>
    <row r="10">
      <c r="A10" s="7" t="inlineStr">
        <is>
          <t>5.1</t>
        </is>
      </c>
      <c r="B10" s="7" t="inlineStr">
        <is>
          <t>Quản lý rủi ro an ninh mạng</t>
        </is>
      </c>
      <c r="C10" s="7" t="inlineStr">
        <is>
          <t>5.1.2.3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>
        <is>
          <t>Mới/khác so với cấp 2</t>
        </is>
      </c>
      <c r="H10" s="11" t="inlineStr"/>
      <c r="I10" s="11" t="inlineStr"/>
    </row>
    <row r="11">
      <c r="A11" s="7" t="inlineStr">
        <is>
          <t>5.1</t>
        </is>
      </c>
      <c r="B11" s="7" t="inlineStr">
        <is>
          <t>Quản lý rủi ro an ninh mạng</t>
        </is>
      </c>
      <c r="C11" s="7" t="inlineStr">
        <is>
          <t>5.1.2.3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>
        <is>
          <t>Mới/khác so với cấp 2</t>
        </is>
      </c>
      <c r="H11" s="11" t="inlineStr"/>
      <c r="I11" s="11" t="inlineStr"/>
    </row>
    <row r="12">
      <c r="A12" s="7" t="inlineStr">
        <is>
          <t>5.1</t>
        </is>
      </c>
      <c r="B12" s="7" t="inlineStr">
        <is>
          <t>Quản lý rủi ro an ninh mạng</t>
        </is>
      </c>
      <c r="C12" s="7" t="inlineStr">
        <is>
          <t>5.1.2.4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>
        <is>
          <t>Mới/khác so với cấp 2</t>
        </is>
      </c>
      <c r="H12" s="11" t="inlineStr"/>
      <c r="I12" s="11" t="inlineStr"/>
    </row>
    <row r="13">
      <c r="A13" s="7" t="inlineStr">
        <is>
          <t>5.1</t>
        </is>
      </c>
      <c r="B13" s="7" t="inlineStr">
        <is>
          <t>Quản lý rủi ro an ninh mạng</t>
        </is>
      </c>
      <c r="C13" s="7" t="inlineStr">
        <is>
          <t>5.1.2.4 b)</t>
        </is>
      </c>
      <c r="D13" s="7" t="inlineStr">
        <is>
          <t>Đánh giá, cải thiện hiệu quả biện pháp kiểm soát ≥ 1 lần/năm</t>
        </is>
      </c>
      <c r="E13" s="11" t="inlineStr"/>
      <c r="F13" s="7" t="inlineStr">
        <is>
          <t>Báo cáo đánh giá hiệu quả kiểm soát</t>
        </is>
      </c>
      <c r="G13" s="7" t="inlineStr">
        <is>
          <t>Mới/khác so với cấp 2</t>
        </is>
      </c>
      <c r="H13" s="11" t="inlineStr"/>
      <c r="I13" s="11" t="inlineStr"/>
    </row>
    <row r="14">
      <c r="A14" s="7" t="inlineStr">
        <is>
          <t>5.1</t>
        </is>
      </c>
      <c r="B14" s="7" t="inlineStr">
        <is>
          <t>Quản lý rủi ro an ninh mạng</t>
        </is>
      </c>
      <c r="C14" s="7" t="inlineStr">
        <is>
          <t>5.1.2.5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>
        <is>
          <t>Mới/khác so với cấp 2</t>
        </is>
      </c>
      <c r="H14" s="11" t="inlineStr"/>
      <c r="I14" s="11" t="inlineStr"/>
    </row>
    <row r="15">
      <c r="A15" s="7" t="inlineStr">
        <is>
          <t>5.1</t>
        </is>
      </c>
      <c r="B15" s="7" t="inlineStr">
        <is>
          <t>Quản lý rủi ro an ninh mạng</t>
        </is>
      </c>
      <c r="C15" s="7" t="inlineStr">
        <is>
          <t>5.1.2.6</t>
        </is>
      </c>
      <c r="D15" s="7" t="inlineStr">
        <is>
          <t>Thông báo kịp thời cho bên liên quan khi rủi ro có thay đổi quan trọng</t>
        </is>
      </c>
      <c r="E15" s="11" t="inlineStr"/>
      <c r="F15" s="7" t="inlineStr">
        <is>
          <t>Thông báo, kênh truyền thông rủi ro</t>
        </is>
      </c>
      <c r="G15" s="7" t="inlineStr">
        <is>
          <t>Mới/khác so với cấp 2</t>
        </is>
      </c>
      <c r="H15" s="11" t="inlineStr"/>
      <c r="I15" s="11" t="inlineStr"/>
    </row>
    <row r="16">
      <c r="A16" s="7" t="inlineStr">
        <is>
          <t>5.2</t>
        </is>
      </c>
      <c r="B16" s="7" t="inlineStr">
        <is>
          <t>Quản lý tài sản phần cứng</t>
        </is>
      </c>
      <c r="C16" s="7" t="inlineStr">
        <is>
          <t>5.2.1 a)</t>
        </is>
      </c>
      <c r="D16" s="7" t="inlineStr">
        <is>
          <t>Danh mục toàn bộ phần cứng của HTTT, kể cả thiết bị bên ngoài có kết nối vào; xác định tài sản cần giám sát</t>
        </is>
      </c>
      <c r="E16" s="11" t="inlineStr"/>
      <c r="F16" s="7" t="inlineStr">
        <is>
          <t>Danh mục tài sản phần cứng</t>
        </is>
      </c>
      <c r="G16" s="7" t="inlineStr"/>
      <c r="H16" s="11" t="inlineStr"/>
      <c r="I16" s="11" t="inlineStr"/>
    </row>
    <row r="17">
      <c r="A17" s="7" t="inlineStr">
        <is>
          <t>5.2</t>
        </is>
      </c>
      <c r="B17" s="7" t="inlineStr">
        <is>
          <t>Quản lý tài sản phần cứng</t>
        </is>
      </c>
      <c r="C17" s="7" t="inlineStr">
        <is>
          <t>5.2.1 b)</t>
        </is>
      </c>
      <c r="D17" s="7" t="inlineStr">
        <is>
          <t>Phát hiện tài sản vô chủ/trái phép để loại bỏ hoặc đưa vào quản lý</t>
        </is>
      </c>
      <c r="E17" s="11" t="inlineStr"/>
      <c r="F17" s="7" t="inlineStr">
        <is>
          <t>Báo cáo rà soát tài sản</t>
        </is>
      </c>
      <c r="G17" s="7" t="inlineStr"/>
      <c r="H17" s="11" t="inlineStr"/>
      <c r="I17" s="11" t="inlineStr"/>
    </row>
    <row r="18">
      <c r="A18" s="7" t="inlineStr">
        <is>
          <t>5.2</t>
        </is>
      </c>
      <c r="B18" s="7" t="inlineStr">
        <is>
          <t>Quản lý tài sản phần cứng</t>
        </is>
      </c>
      <c r="C18" s="7" t="inlineStr">
        <is>
          <t>5.2.1 c)</t>
        </is>
      </c>
      <c r="D18" s="7" t="inlineStr">
        <is>
          <t>Kiểm kê, cập nhật danh mục tài sản ≥ 1 lần/năm</t>
        </is>
      </c>
      <c r="E18" s="11" t="inlineStr"/>
      <c r="F18" s="7" t="inlineStr">
        <is>
          <t>Biên bản kiểm kê</t>
        </is>
      </c>
      <c r="G18" s="7" t="inlineStr"/>
      <c r="H18" s="11" t="inlineStr"/>
      <c r="I18" s="11" t="inlineStr"/>
    </row>
    <row r="19">
      <c r="A19" s="7" t="inlineStr">
        <is>
          <t>5.2</t>
        </is>
      </c>
      <c r="B19" s="7" t="inlineStr">
        <is>
          <t>Quản lý tài sản phần cứng</t>
        </is>
      </c>
      <c r="C19" s="7" t="inlineStr">
        <is>
          <t>5.2.2.1 a)</t>
        </is>
      </c>
      <c r="D19" s="7" t="inlineStr">
        <is>
          <t>Danh mục phủ mọi thiết bị lưu trữ/xử lý dữ liệu: đầu cuối, di động, lưu trữ ngoài, văn phòng, mạng, OT/IoT, máy chủ vật lý/ảo/cloud</t>
        </is>
      </c>
      <c r="E19" s="11" t="inlineStr"/>
      <c r="F19" s="7" t="inlineStr">
        <is>
          <t>Danh mục tài sản (CMDB/bảng tính)</t>
        </is>
      </c>
      <c r="G19" s="7" t="inlineStr"/>
      <c r="H19" s="11" t="inlineStr"/>
      <c r="I19" s="11" t="inlineStr"/>
    </row>
    <row r="20">
      <c r="A20" s="7" t="inlineStr">
        <is>
          <t>5.2</t>
        </is>
      </c>
      <c r="B20" s="7" t="inlineStr">
        <is>
          <t>Quản lý tài sản phần cứng</t>
        </is>
      </c>
      <c r="C20" s="7" t="inlineStr">
        <is>
          <t>5.2.2.1 b)</t>
        </is>
      </c>
      <c r="D20" s="7" t="inlineStr">
        <is>
          <t>Trường tối thiểu: tên, IP tĩnh, MAC/serial, hạn hỗ trợ của hãng, vị trí địa lý và trong mạng, mục đích, tình trạng; gán người chịu trách nhiệm</t>
        </is>
      </c>
      <c r="E20" s="11" t="inlineStr"/>
      <c r="F20" s="7" t="inlineStr">
        <is>
          <t>Danh mục có đủ trường, cột người phụ trách</t>
        </is>
      </c>
      <c r="G20" s="7" t="inlineStr"/>
      <c r="H20" s="11" t="inlineStr"/>
      <c r="I20" s="11" t="inlineStr"/>
    </row>
    <row r="21">
      <c r="A21" s="7" t="inlineStr">
        <is>
          <t>5.2</t>
        </is>
      </c>
      <c r="B21" s="7" t="inlineStr">
        <is>
          <t>Quản lý tài sản phần cứng</t>
        </is>
      </c>
      <c r="C21" s="7" t="inlineStr">
        <is>
          <t>5.2.2.1 c)</t>
        </is>
      </c>
      <c r="D21" s="7" t="inlineStr">
        <is>
          <t>Đăng ký thiết bị di động được phép kết nối; quy định trách nhiệm cá nhân khi dùng cho công việc</t>
        </is>
      </c>
      <c r="E21" s="11" t="inlineStr"/>
      <c r="F21" s="7" t="inlineStr">
        <is>
          <t>Sổ đăng ký thiết bị di động, quy định sử dụng</t>
        </is>
      </c>
      <c r="G21" s="7" t="inlineStr"/>
      <c r="H21" s="11" t="inlineStr"/>
      <c r="I21" s="11" t="inlineStr"/>
    </row>
    <row r="22">
      <c r="A22" s="7" t="inlineStr">
        <is>
          <t>5.2</t>
        </is>
      </c>
      <c r="B22" s="7" t="inlineStr">
        <is>
          <t>Quản lý tài sản phần cứng</t>
        </is>
      </c>
      <c r="C22" s="7" t="inlineStr">
        <is>
          <t>5.2.2.2 a)</t>
        </is>
      </c>
      <c r="D22" s="7" t="inlineStr">
        <is>
          <t>Quy trình phát hiện, xử lý thiết bị lạ kết nối trái phép, thực hiện ≥ 1 lần/6 tháng</t>
        </is>
      </c>
      <c r="E22" s="11" t="inlineStr"/>
      <c r="F22" s="7" t="inlineStr">
        <is>
          <t>Quy trình + kết quả các lần rà soát</t>
        </is>
      </c>
      <c r="G22" s="7" t="inlineStr">
        <is>
          <t>Mới/khác so với cấp 2</t>
        </is>
      </c>
      <c r="H22" s="11" t="inlineStr"/>
      <c r="I22" s="11" t="inlineStr"/>
    </row>
    <row r="23">
      <c r="A23" s="7" t="inlineStr">
        <is>
          <t>5.2</t>
        </is>
      </c>
      <c r="B23" s="7" t="inlineStr">
        <is>
          <t>Quản lý tài sản phần cứng</t>
        </is>
      </c>
      <c r="C23" s="7" t="inlineStr">
        <is>
          <t>5.2.2.2 b)</t>
        </is>
      </c>
      <c r="D23" s="7" t="inlineStr">
        <is>
          <t>Xử lý thiết bị trái phép bằng cách gỡ bỏ, từ chối kết nối hoặc cách ly</t>
        </is>
      </c>
      <c r="E23" s="11" t="inlineStr"/>
      <c r="F23" s="7" t="inlineStr">
        <is>
          <t>Nhật ký xử lý</t>
        </is>
      </c>
      <c r="G23" s="7" t="inlineStr"/>
      <c r="H23" s="11" t="inlineStr"/>
      <c r="I23" s="11" t="inlineStr"/>
    </row>
    <row r="24">
      <c r="A24" s="7" t="inlineStr">
        <is>
          <t>5.2</t>
        </is>
      </c>
      <c r="B24" s="7" t="inlineStr">
        <is>
          <t>Quản lý tài sản phần cứng</t>
        </is>
      </c>
      <c r="C24" s="7" t="inlineStr">
        <is>
          <t>5.2.2.3</t>
        </is>
      </c>
      <c r="D24" s="7" t="inlineStr">
        <is>
          <t>Có phương án xóa sạch dữ liệu khi chuyển giao hoặc đổi mục đích sử dụng phần cứng</t>
        </is>
      </c>
      <c r="E24" s="11" t="inlineStr"/>
      <c r="F24" s="7" t="inlineStr">
        <is>
          <t>Quy trình xóa dữ liệu, biên bản xóa</t>
        </is>
      </c>
      <c r="G24" s="7" t="inlineStr"/>
      <c r="H24" s="11" t="inlineStr"/>
      <c r="I24" s="11" t="inlineStr"/>
    </row>
    <row r="25">
      <c r="A25" s="7" t="inlineStr">
        <is>
          <t>5.2</t>
        </is>
      </c>
      <c r="B25" s="7" t="inlineStr">
        <is>
          <t>Quản lý tài sản phần cứng</t>
        </is>
      </c>
      <c r="C25" s="7" t="inlineStr">
        <is>
          <t>5.2.2.4 a)</t>
        </is>
      </c>
      <c r="D25" s="7" t="inlineStr">
        <is>
          <t>Bật ghi log DHCP trên mọi máy chủ DHCP/công cụ quản lý IP (nếu có)</t>
        </is>
      </c>
      <c r="E25" s="11" t="inlineStr"/>
      <c r="F25" s="7" t="inlineStr">
        <is>
          <t>Cấu hình log DHCP/IPAM</t>
        </is>
      </c>
      <c r="G25" s="7" t="inlineStr">
        <is>
          <t>Mới/khác so với cấp 2</t>
        </is>
      </c>
      <c r="H25" s="11" t="inlineStr"/>
      <c r="I25" s="11" t="inlineStr"/>
    </row>
    <row r="26">
      <c r="A26" s="7" t="inlineStr">
        <is>
          <t>5.2</t>
        </is>
      </c>
      <c r="B26" s="7" t="inlineStr">
        <is>
          <t>Quản lý tài sản phần cứng</t>
        </is>
      </c>
      <c r="C26" s="7" t="inlineStr">
        <is>
          <t>5.2.2.4 b)</t>
        </is>
      </c>
      <c r="D26" s="7" t="inlineStr">
        <is>
          <t>Rà soát log DHCP để cập nhật danh mục ≥ 1 lần/6 tháng</t>
        </is>
      </c>
      <c r="E26" s="11" t="inlineStr"/>
      <c r="F26" s="7" t="inlineStr">
        <is>
          <t>Biên bản rà soát log DHCP</t>
        </is>
      </c>
      <c r="G26" s="7" t="inlineStr">
        <is>
          <t>Mới/khác so với cấp 2</t>
        </is>
      </c>
      <c r="H26" s="11" t="inlineStr"/>
      <c r="I26" s="11" t="inlineStr"/>
    </row>
    <row r="27">
      <c r="A27" s="7" t="inlineStr">
        <is>
          <t>5.3</t>
        </is>
      </c>
      <c r="B27" s="7" t="inlineStr">
        <is>
          <t>Quản lý tài sản phần mềm</t>
        </is>
      </c>
      <c r="C27" s="7" t="inlineStr">
        <is>
          <t>5.3.1 a)</t>
        </is>
      </c>
      <c r="D27" s="7" t="inlineStr">
        <is>
          <t>Quản lý danh mục phần mềm; chỉ phần mềm đã phê duyệt mới được cài và dùng</t>
        </is>
      </c>
      <c r="E27" s="11" t="inlineStr"/>
      <c r="F27" s="7" t="inlineStr">
        <is>
          <t>Danh mục phần mềm, quy trình phê duyệt</t>
        </is>
      </c>
      <c r="G27" s="7" t="inlineStr"/>
      <c r="H27" s="11" t="inlineStr"/>
      <c r="I27" s="11" t="inlineStr"/>
    </row>
    <row r="28">
      <c r="A28" s="7" t="inlineStr">
        <is>
          <t>5.3</t>
        </is>
      </c>
      <c r="B28" s="7" t="inlineStr">
        <is>
          <t>Quản lý tài sản phần mềm</t>
        </is>
      </c>
      <c r="C28" s="7" t="inlineStr">
        <is>
          <t>5.3.1 b)</t>
        </is>
      </c>
      <c r="D28" s="7" t="inlineStr">
        <is>
          <t>Kiểm kê, cập nhật danh mục phần mềm ≥ 1 lần/năm</t>
        </is>
      </c>
      <c r="E28" s="11" t="inlineStr"/>
      <c r="F28" s="7" t="inlineStr">
        <is>
          <t>Biên bản kiểm kê phần mềm</t>
        </is>
      </c>
      <c r="G28" s="7" t="inlineStr"/>
      <c r="H28" s="11" t="inlineStr"/>
      <c r="I28" s="11" t="inlineStr"/>
    </row>
    <row r="29">
      <c r="A29" s="7" t="inlineStr">
        <is>
          <t>5.3</t>
        </is>
      </c>
      <c r="B29" s="7" t="inlineStr">
        <is>
          <t>Quản lý tài sản phần mềm</t>
        </is>
      </c>
      <c r="C29" s="7" t="inlineStr">
        <is>
          <t>5.3.2.1 a)</t>
        </is>
      </c>
      <c r="D29" s="7" t="inlineStr">
        <is>
          <t>Lập danh mục phần mềm đang cài trên các thiết bị thuộc HTTT</t>
        </is>
      </c>
      <c r="E29" s="11" t="inlineStr"/>
      <c r="F29" s="7" t="inlineStr">
        <is>
          <t>Danh mục phần mềm (xuất từ công cụ inventory)</t>
        </is>
      </c>
      <c r="G29" s="7" t="inlineStr"/>
      <c r="H29" s="11" t="inlineStr"/>
      <c r="I29" s="11" t="inlineStr"/>
    </row>
    <row r="30">
      <c r="A30" s="7" t="inlineStr">
        <is>
          <t>5.3</t>
        </is>
      </c>
      <c r="B30" s="7" t="inlineStr">
        <is>
          <t>Quản lý tài sản phần mềm</t>
        </is>
      </c>
      <c r="C30" s="7" t="inlineStr">
        <is>
          <t>5.3.2.1 b)</t>
        </is>
      </c>
      <c r="D30" s="7" t="inlineStr">
        <is>
          <t>Trường tối thiểu: tên, mục đích, hạn hỗ trợ, phạm vi, chủ quản, bản quyền, phiên bản, hệ thống thành phần; gán trách nhiệm</t>
        </is>
      </c>
      <c r="E30" s="11" t="inlineStr"/>
      <c r="F30" s="7" t="inlineStr">
        <is>
          <t>Danh mục có đủ trường</t>
        </is>
      </c>
      <c r="G30" s="7" t="inlineStr"/>
      <c r="H30" s="11" t="inlineStr"/>
      <c r="I30" s="11" t="inlineStr"/>
    </row>
    <row r="31">
      <c r="A31" s="7" t="inlineStr">
        <is>
          <t>5.3</t>
        </is>
      </c>
      <c r="B31" s="7" t="inlineStr">
        <is>
          <t>Quản lý tài sản phần mềm</t>
        </is>
      </c>
      <c r="C31" s="7" t="inlineStr">
        <is>
          <t>5.3.2.2 a)</t>
        </is>
      </c>
      <c r="D31" s="7" t="inlineStr">
        <is>
          <t>Lập danh sách phần mềm được phép sử dụng (whitelist)</t>
        </is>
      </c>
      <c r="E31" s="11" t="inlineStr"/>
      <c r="F31" s="7" t="inlineStr">
        <is>
          <t>Danh sách phần mềm được phép</t>
        </is>
      </c>
      <c r="G31" s="7" t="inlineStr">
        <is>
          <t>Mới/khác so với cấp 2</t>
        </is>
      </c>
      <c r="H31" s="11" t="inlineStr"/>
      <c r="I31" s="11" t="inlineStr"/>
    </row>
    <row r="32">
      <c r="A32" s="7" t="inlineStr">
        <is>
          <t>5.3</t>
        </is>
      </c>
      <c r="B32" s="7" t="inlineStr">
        <is>
          <t>Quản lý tài sản phần mềm</t>
        </is>
      </c>
      <c r="C32" s="7" t="inlineStr">
        <is>
          <t>5.3.2.2 b)</t>
        </is>
      </c>
      <c r="D32" s="7" t="inlineStr">
        <is>
          <t>Whitelist gồm cả phần mềm do nhà cung cấp dịch vụ đưa vào và môi trường thực thi của ứng dụng</t>
        </is>
      </c>
      <c r="E32" s="11" t="inlineStr"/>
      <c r="F32" s="7" t="inlineStr">
        <is>
          <t>Whitelist có mục runtime/phần mềm NCC</t>
        </is>
      </c>
      <c r="G32" s="7" t="inlineStr">
        <is>
          <t>Mới/khác so với cấp 2</t>
        </is>
      </c>
      <c r="H32" s="11" t="inlineStr"/>
      <c r="I32" s="11" t="inlineStr"/>
    </row>
    <row r="33">
      <c r="A33" s="7" t="inlineStr">
        <is>
          <t>5.3</t>
        </is>
      </c>
      <c r="B33" s="7" t="inlineStr">
        <is>
          <t>Quản lý tài sản phần mềm</t>
        </is>
      </c>
      <c r="C33" s="7" t="inlineStr">
        <is>
          <t>5.3.2.2 c)</t>
        </is>
      </c>
      <c r="D33" s="7" t="inlineStr">
        <is>
          <t>Kiểm soát cài đặt: đặc quyền tối thiểu, chặn cài/gỡ/thực thi trái phép, theo dõi hoạt động cài đặt</t>
        </is>
      </c>
      <c r="E33" s="11" t="inlineStr"/>
      <c r="F33" s="7" t="inlineStr">
        <is>
          <t>Chính sách GPO/MDM/app control, log cài đặt</t>
        </is>
      </c>
      <c r="G33" s="7" t="inlineStr">
        <is>
          <t>Mới/khác so với cấp 2</t>
        </is>
      </c>
      <c r="H33" s="11" t="inlineStr"/>
      <c r="I33" s="11" t="inlineStr"/>
    </row>
    <row r="34">
      <c r="A34" s="7" t="inlineStr">
        <is>
          <t>5.3</t>
        </is>
      </c>
      <c r="B34" s="7" t="inlineStr">
        <is>
          <t>Quản lý tài sản phần mềm</t>
        </is>
      </c>
      <c r="C34" s="7" t="inlineStr">
        <is>
          <t>5.3.2.2 d)</t>
        </is>
      </c>
      <c r="D34" s="7" t="inlineStr">
        <is>
          <t>Rà soát whitelist ≥ 1 lần/năm hoặc khi tổ chức thay đổi</t>
        </is>
      </c>
      <c r="E34" s="11" t="inlineStr"/>
      <c r="F34" s="7" t="inlineStr">
        <is>
          <t>Biên bản rà soát whitelist</t>
        </is>
      </c>
      <c r="G34" s="7" t="inlineStr">
        <is>
          <t>Mới/khác so với cấp 2</t>
        </is>
      </c>
      <c r="H34" s="11" t="inlineStr"/>
      <c r="I34" s="11" t="inlineStr"/>
    </row>
    <row r="35">
      <c r="A35" s="7" t="inlineStr">
        <is>
          <t>5.3</t>
        </is>
      </c>
      <c r="B35" s="7" t="inlineStr">
        <is>
          <t>Quản lý tài sản phần mềm</t>
        </is>
      </c>
      <c r="C35" s="7" t="inlineStr">
        <is>
          <t>5.3.2.3 a)</t>
        </is>
      </c>
      <c r="D35" s="7" t="inlineStr">
        <is>
          <t>Quy trình phát hiện, xử lý phần mềm trái phép ≥ 1 lần/năm</t>
        </is>
      </c>
      <c r="E35" s="11" t="inlineStr"/>
      <c r="F35" s="7" t="inlineStr">
        <is>
          <t>Quy trình + kết quả rà soát</t>
        </is>
      </c>
      <c r="G35" s="7" t="inlineStr"/>
      <c r="H35" s="11" t="inlineStr"/>
      <c r="I35" s="11" t="inlineStr"/>
    </row>
    <row r="36">
      <c r="A36" s="7" t="inlineStr">
        <is>
          <t>5.3</t>
        </is>
      </c>
      <c r="B36" s="7" t="inlineStr">
        <is>
          <t>Quản lý tài sản phần mềm</t>
        </is>
      </c>
      <c r="C36" s="7" t="inlineStr">
        <is>
          <t>5.3.2.3 b)</t>
        </is>
      </c>
      <c r="D36" s="7" t="inlineStr">
        <is>
          <t>Phần mềm trái phép nhưng cần thiết đưa vào danh sách ngoại lệ, kèm biện pháp giảm thiểu</t>
        </is>
      </c>
      <c r="E36" s="11" t="inlineStr"/>
      <c r="F36" s="7" t="inlineStr">
        <is>
          <t>Danh sách ngoại lệ có biện pháp kiểm soát</t>
        </is>
      </c>
      <c r="G36" s="7" t="inlineStr"/>
      <c r="H36" s="11" t="inlineStr"/>
      <c r="I36" s="11" t="inlineStr"/>
    </row>
    <row r="37">
      <c r="A37" s="7" t="inlineStr">
        <is>
          <t>5.3</t>
        </is>
      </c>
      <c r="B37" s="7" t="inlineStr">
        <is>
          <t>Quản lý tài sản phần mềm</t>
        </is>
      </c>
      <c r="C37" s="7" t="inlineStr">
        <is>
          <t>5.3.2.3 c)</t>
        </is>
      </c>
      <c r="D37" s="7" t="inlineStr">
        <is>
          <t>Lập kế hoạch gỡ sớm phần mềm trái phép ngoài danh sách ngoại lệ</t>
        </is>
      </c>
      <c r="E37" s="11" t="inlineStr"/>
      <c r="F37" s="7" t="inlineStr">
        <is>
          <t>Kế hoạch gỡ bỏ, bằng chứng đã gỡ</t>
        </is>
      </c>
      <c r="G37" s="7" t="inlineStr"/>
      <c r="H37" s="11" t="inlineStr"/>
      <c r="I37" s="11" t="inlineStr"/>
    </row>
    <row r="38">
      <c r="A38" s="7" t="inlineStr">
        <is>
          <t>5.4</t>
        </is>
      </c>
      <c r="B38" s="7" t="inlineStr">
        <is>
          <t>Quản lý tài sản thông tin</t>
        </is>
      </c>
      <c r="C38" s="7" t="inlineStr">
        <is>
          <t>5.4.2.1 a)</t>
        </is>
      </c>
      <c r="D38" s="7" t="inlineStr">
        <is>
          <t>Quy định quản lý tài sản thông tin: danh mục, mức nhạy cảm, chủ sở hữu, cách xử lý, thời hạn lưu, yêu cầu tiêu hủy</t>
        </is>
      </c>
      <c r="E38" s="11" t="inlineStr"/>
      <c r="F38" s="7" t="inlineStr">
        <is>
          <t>Quy định quản lý tài sản thông tin</t>
        </is>
      </c>
      <c r="G38" s="7" t="inlineStr"/>
      <c r="H38" s="11" t="inlineStr"/>
      <c r="I38" s="11" t="inlineStr"/>
    </row>
    <row r="39">
      <c r="A39" s="7" t="inlineStr">
        <is>
          <t>5.4</t>
        </is>
      </c>
      <c r="B39" s="7" t="inlineStr">
        <is>
          <t>Quản lý tài sản thông tin</t>
        </is>
      </c>
      <c r="C39" s="7" t="inlineStr">
        <is>
          <t>5.4.2.1 b)</t>
        </is>
      </c>
      <c r="D39" s="7" t="inlineStr">
        <is>
          <t>Phân loại mức nhạy cảm (gợi ý 4 mức: công khai, nội bộ, hạn chế, bí mật nhà nước)</t>
        </is>
      </c>
      <c r="E39" s="11" t="inlineStr"/>
      <c r="F39" s="7" t="inlineStr">
        <is>
          <t>Bảng phân loại, nhãn dữ liệu</t>
        </is>
      </c>
      <c r="G39" s="7" t="inlineStr">
        <is>
          <t>Mới/khác so với cấp 2</t>
        </is>
      </c>
      <c r="H39" s="11" t="inlineStr"/>
      <c r="I39" s="11" t="inlineStr"/>
    </row>
    <row r="40">
      <c r="A40" s="7" t="inlineStr">
        <is>
          <t>5.4</t>
        </is>
      </c>
      <c r="B40" s="7" t="inlineStr">
        <is>
          <t>Quản lý tài sản thông tin</t>
        </is>
      </c>
      <c r="C40" s="7" t="inlineStr">
        <is>
          <t>5.4.2.1 c)</t>
        </is>
      </c>
      <c r="D40" s="7" t="inlineStr">
        <is>
          <t>Quy trình yêu cầu truy cập, thêm, sửa, xóa dữ liệu</t>
        </is>
      </c>
      <c r="E40" s="11" t="inlineStr"/>
      <c r="F40" s="7" t="inlineStr">
        <is>
          <t>Quy trình + phiếu yêu cầu</t>
        </is>
      </c>
      <c r="G40" s="7" t="inlineStr"/>
      <c r="H40" s="11" t="inlineStr"/>
      <c r="I40" s="11" t="inlineStr"/>
    </row>
    <row r="41">
      <c r="A41" s="7" t="inlineStr">
        <is>
          <t>5.4</t>
        </is>
      </c>
      <c r="B41" s="7" t="inlineStr">
        <is>
          <t>Quản lý tài sản thông tin</t>
        </is>
      </c>
      <c r="C41" s="7" t="inlineStr">
        <is>
          <t>5.4.2.1 d)</t>
        </is>
      </c>
      <c r="D41" s="7" t="inlineStr">
        <is>
          <t>Kiểm tra phân quyền dữ liệu ≥ 1 lần/6 tháng</t>
        </is>
      </c>
      <c r="E41" s="11" t="inlineStr"/>
      <c r="F41" s="7" t="inlineStr">
        <is>
          <t>Biên bản rà soát phân quyền</t>
        </is>
      </c>
      <c r="G41" s="7" t="inlineStr">
        <is>
          <t>Mới/khác so với cấp 2</t>
        </is>
      </c>
      <c r="H41" s="11" t="inlineStr"/>
      <c r="I41" s="11" t="inlineStr"/>
    </row>
    <row r="42">
      <c r="A42" s="7" t="inlineStr">
        <is>
          <t>5.4</t>
        </is>
      </c>
      <c r="B42" s="7" t="inlineStr">
        <is>
          <t>Quản lý tài sản thông tin</t>
        </is>
      </c>
      <c r="C42" s="7" t="inlineStr">
        <is>
          <t>5.4.2.1 e)</t>
        </is>
      </c>
      <c r="D42" s="7" t="inlineStr">
        <is>
          <t>Rà soát quy trình quản lý tài sản thông tin ≥ 1 lần/năm hoặc khi thay đổi</t>
        </is>
      </c>
      <c r="E42" s="11" t="inlineStr"/>
      <c r="F42" s="7" t="inlineStr">
        <is>
          <t>Lịch sử phiên bản quy trình</t>
        </is>
      </c>
      <c r="G42" s="7" t="inlineStr"/>
      <c r="H42" s="11" t="inlineStr"/>
      <c r="I42" s="11" t="inlineStr"/>
    </row>
    <row r="43">
      <c r="A43" s="7" t="inlineStr">
        <is>
          <t>5.4</t>
        </is>
      </c>
      <c r="B43" s="7" t="inlineStr">
        <is>
          <t>Quản lý tài sản thông tin</t>
        </is>
      </c>
      <c r="C43" s="7" t="inlineStr">
        <is>
          <t>5.4.2.2 a)</t>
        </is>
      </c>
      <c r="D43" s="7" t="inlineStr">
        <is>
          <t>Lập danh mục tài sản thông tin theo quy trình đã ban hành</t>
        </is>
      </c>
      <c r="E43" s="11" t="inlineStr"/>
      <c r="F43" s="7" t="inlineStr">
        <is>
          <t>Danh mục tài sản thông tin</t>
        </is>
      </c>
      <c r="G43" s="7" t="inlineStr"/>
      <c r="H43" s="11" t="inlineStr"/>
      <c r="I43" s="11" t="inlineStr"/>
    </row>
    <row r="44">
      <c r="A44" s="7" t="inlineStr">
        <is>
          <t>5.4</t>
        </is>
      </c>
      <c r="B44" s="7" t="inlineStr">
        <is>
          <t>Quản lý tài sản thông tin</t>
        </is>
      </c>
      <c r="C44" s="7" t="inlineStr">
        <is>
          <t>5.4.2.2 b)</t>
        </is>
      </c>
      <c r="D44" s="7" t="inlineStr">
        <is>
          <t>Cập nhật danh mục tài sản thông tin ≥ 1 lần/năm hoặc khi thay đổi</t>
        </is>
      </c>
      <c r="E44" s="11" t="inlineStr"/>
      <c r="F44" s="7" t="inlineStr">
        <is>
          <t>Ngày cập nhật danh mục</t>
        </is>
      </c>
      <c r="G44" s="7" t="inlineStr"/>
      <c r="H44" s="11" t="inlineStr"/>
      <c r="I44" s="11" t="inlineStr"/>
    </row>
    <row r="45">
      <c r="A45" s="7" t="inlineStr">
        <is>
          <t>5.4</t>
        </is>
      </c>
      <c r="B45" s="7" t="inlineStr">
        <is>
          <t>Quản lý tài sản thông tin</t>
        </is>
      </c>
      <c r="C45" s="7" t="inlineStr">
        <is>
          <t>5.4.2.3</t>
        </is>
      </c>
      <c r="D45" s="7" t="inlineStr">
        <is>
          <t>Ma trận quyền truy cập của từng tài khoản/người dùng với từng loại tài sản thông tin</t>
        </is>
      </c>
      <c r="E45" s="11" t="inlineStr"/>
      <c r="F45" s="7" t="inlineStr">
        <is>
          <t>Ma trận phân quyền (ACL)</t>
        </is>
      </c>
      <c r="G45" s="7" t="inlineStr"/>
      <c r="H45" s="11" t="inlineStr"/>
      <c r="I45" s="11" t="inlineStr"/>
    </row>
    <row r="46">
      <c r="A46" s="7" t="inlineStr">
        <is>
          <t>5.4</t>
        </is>
      </c>
      <c r="B46" s="7" t="inlineStr">
        <is>
          <t>Quản lý tài sản thông tin</t>
        </is>
      </c>
      <c r="C46" s="7" t="inlineStr">
        <is>
          <t>5.4.2.4 a)</t>
        </is>
      </c>
      <c r="D46" s="7" t="inlineStr">
        <is>
          <t>Mã hóa (hoặc tương đương) thông tin xác thực, dữ liệu nhạy cảm cao, dữ liệu quan trọng khi lưu</t>
        </is>
      </c>
      <c r="E46" s="11" t="inlineStr"/>
      <c r="F46" s="7" t="inlineStr">
        <is>
          <t>Cấu hình mã hóa (DB/đĩa/hash mật khẩu)</t>
        </is>
      </c>
      <c r="G46" s="7" t="inlineStr">
        <is>
          <t>Mới/khác so với cấp 2</t>
        </is>
      </c>
      <c r="H46" s="11" t="inlineStr"/>
      <c r="I46" s="11" t="inlineStr"/>
    </row>
    <row r="47">
      <c r="A47" s="7" t="inlineStr">
        <is>
          <t>5.4</t>
        </is>
      </c>
      <c r="B47" s="7" t="inlineStr">
        <is>
          <t>Quản lý tài sản thông tin</t>
        </is>
      </c>
      <c r="C47" s="7" t="inlineStr">
        <is>
          <t>5.4.2.4 b)</t>
        </is>
      </c>
      <c r="D47" s="7" t="inlineStr">
        <is>
          <t>Bảo vệ thông tin xác thực, dữ liệu quan trọng khi truyền (mã hóa hoặc tương đương)</t>
        </is>
      </c>
      <c r="E47" s="11" t="inlineStr"/>
      <c r="F47" s="7" t="inlineStr">
        <is>
          <t>Cấu hình TLS/VPN, kết quả kiểm tra</t>
        </is>
      </c>
      <c r="G47" s="7" t="inlineStr">
        <is>
          <t>Mới/khác so với cấp 2</t>
        </is>
      </c>
      <c r="H47" s="11" t="inlineStr"/>
      <c r="I47" s="11" t="inlineStr"/>
    </row>
    <row r="48">
      <c r="A48" s="7" t="inlineStr">
        <is>
          <t>5.4</t>
        </is>
      </c>
      <c r="B48" s="7" t="inlineStr">
        <is>
          <t>Quản lý tài sản thông tin</t>
        </is>
      </c>
      <c r="C48" s="7" t="inlineStr">
        <is>
          <t>5.4.2.4 c)</t>
        </is>
      </c>
      <c r="D48" s="7" t="inlineStr">
        <is>
          <t>Bảo vệ và quản lý vòng đời khóa mã hóa</t>
        </is>
      </c>
      <c r="E48" s="11" t="inlineStr"/>
      <c r="F48" s="7" t="inlineStr">
        <is>
          <t>Quy trình quản lý khóa, KMS</t>
        </is>
      </c>
      <c r="G48" s="7" t="inlineStr">
        <is>
          <t>Mới/khác so với cấp 2</t>
        </is>
      </c>
      <c r="H48" s="11" t="inlineStr"/>
      <c r="I48" s="11" t="inlineStr"/>
    </row>
    <row r="49">
      <c r="A49" s="7" t="inlineStr">
        <is>
          <t>5.4</t>
        </is>
      </c>
      <c r="B49" s="7" t="inlineStr">
        <is>
          <t>Quản lý tài sản thông tin</t>
        </is>
      </c>
      <c r="C49" s="7" t="inlineStr">
        <is>
          <t>5.4.2.5</t>
        </is>
      </c>
      <c r="D49" s="7" t="inlineStr">
        <is>
          <t>Lưu dữ liệu quan trọng kèm mã kiểm tra toàn vẹn (checksum/hash/chữ ký)</t>
        </is>
      </c>
      <c r="E49" s="11" t="inlineStr"/>
      <c r="F49" s="7" t="inlineStr">
        <is>
          <t>Thiết kế kiểm tra toàn vẹn</t>
        </is>
      </c>
      <c r="G49" s="7" t="inlineStr">
        <is>
          <t>Mới/khác so với cấp 2</t>
        </is>
      </c>
      <c r="H49" s="11" t="inlineStr"/>
      <c r="I49" s="11" t="inlineStr"/>
    </row>
    <row r="50">
      <c r="A50" s="7" t="inlineStr">
        <is>
          <t>5.4</t>
        </is>
      </c>
      <c r="B50" s="7" t="inlineStr">
        <is>
          <t>Quản lý tài sản thông tin</t>
        </is>
      </c>
      <c r="C50" s="7" t="inlineStr">
        <is>
          <t>5.4.2.6 a)</t>
        </is>
      </c>
      <c r="D50" s="7" t="inlineStr">
        <is>
          <t>Tài liệu hóa các luồng dữ liệu quan trọng trong HTTT</t>
        </is>
      </c>
      <c r="E50" s="11" t="inlineStr"/>
      <c r="F50" s="7" t="inlineStr">
        <is>
          <t>Sơ đồ luồng dữ liệu</t>
        </is>
      </c>
      <c r="G50" s="7" t="inlineStr">
        <is>
          <t>Mới/khác so với cấp 2</t>
        </is>
      </c>
      <c r="H50" s="11" t="inlineStr"/>
      <c r="I50" s="11" t="inlineStr"/>
    </row>
    <row r="51">
      <c r="A51" s="7" t="inlineStr">
        <is>
          <t>5.4</t>
        </is>
      </c>
      <c r="B51" s="7" t="inlineStr">
        <is>
          <t>Quản lý tài sản thông tin</t>
        </is>
      </c>
      <c r="C51" s="7" t="inlineStr">
        <is>
          <t>5.4.2.6 b)</t>
        </is>
      </c>
      <c r="D51" s="7" t="inlineStr">
        <is>
          <t>Áp dụng quy định quản lý phiên bản tài liệu</t>
        </is>
      </c>
      <c r="E51" s="11" t="inlineStr"/>
      <c r="F51" s="7" t="inlineStr">
        <is>
          <t>Quy định quản lý tài liệu</t>
        </is>
      </c>
      <c r="G51" s="7" t="inlineStr">
        <is>
          <t>Mới/khác so với cấp 2</t>
        </is>
      </c>
      <c r="H51" s="11" t="inlineStr"/>
      <c r="I51" s="11" t="inlineStr"/>
    </row>
    <row r="52">
      <c r="A52" s="7" t="inlineStr">
        <is>
          <t>5.4</t>
        </is>
      </c>
      <c r="B52" s="7" t="inlineStr">
        <is>
          <t>Quản lý tài sản thông tin</t>
        </is>
      </c>
      <c r="C52" s="7" t="inlineStr">
        <is>
          <t>5.4.2.6 c)</t>
        </is>
      </c>
      <c r="D52" s="7" t="inlineStr">
        <is>
          <t>Cập nhật tài liệu luồng dữ liệu ≥ 1 lần/năm hoặc khi thay đổi</t>
        </is>
      </c>
      <c r="E52" s="11" t="inlineStr"/>
      <c r="F52" s="7" t="inlineStr">
        <is>
          <t>Lịch sử phiên bản</t>
        </is>
      </c>
      <c r="G52" s="7" t="inlineStr">
        <is>
          <t>Mới/khác so với cấp 2</t>
        </is>
      </c>
      <c r="H52" s="11" t="inlineStr"/>
      <c r="I52" s="11" t="inlineStr"/>
    </row>
    <row r="53">
      <c r="A53" s="7" t="inlineStr">
        <is>
          <t>5.4</t>
        </is>
      </c>
      <c r="B53" s="7" t="inlineStr">
        <is>
          <t>Quản lý tài sản thông tin</t>
        </is>
      </c>
      <c r="C53" s="7" t="inlineStr">
        <is>
          <t>5.4.2.7 a)</t>
        </is>
      </c>
      <c r="D53" s="7" t="inlineStr">
        <is>
          <t>Có quy định về xử lý dữ liệu quan trọng</t>
        </is>
      </c>
      <c r="E53" s="11" t="inlineStr"/>
      <c r="F53" s="7" t="inlineStr">
        <is>
          <t>Quy định xử lý dữ liệu</t>
        </is>
      </c>
      <c r="G53" s="7" t="inlineStr">
        <is>
          <t>Mới/khác so với cấp 2</t>
        </is>
      </c>
      <c r="H53" s="11" t="inlineStr"/>
      <c r="I53" s="11" t="inlineStr"/>
    </row>
    <row r="54">
      <c r="A54" s="7" t="inlineStr">
        <is>
          <t>5.4</t>
        </is>
      </c>
      <c r="B54" s="7" t="inlineStr">
        <is>
          <t>Quản lý tài sản thông tin</t>
        </is>
      </c>
      <c r="C54" s="7" t="inlineStr">
        <is>
          <t>5.4.2.7 b)</t>
        </is>
      </c>
      <c r="D54" s="7" t="inlineStr">
        <is>
          <t>Tách môi trường xử lý/lưu dữ liệu nhạy cảm cao, quan trọng khỏi dữ liệu nhạy cảm thấp (logic/vật lý hoặc tương đương)</t>
        </is>
      </c>
      <c r="E54" s="11" t="inlineStr"/>
      <c r="F54" s="7" t="inlineStr">
        <is>
          <t>Sơ đồ phân tách môi trường</t>
        </is>
      </c>
      <c r="G54" s="7" t="inlineStr">
        <is>
          <t>Mới/khác so với cấp 2</t>
        </is>
      </c>
      <c r="H54" s="11" t="inlineStr"/>
      <c r="I54" s="11" t="inlineStr"/>
    </row>
    <row r="55">
      <c r="A55" s="7" t="inlineStr">
        <is>
          <t>5.4</t>
        </is>
      </c>
      <c r="B55" s="7" t="inlineStr">
        <is>
          <t>Quản lý tài sản thông tin</t>
        </is>
      </c>
      <c r="C55" s="7" t="inlineStr">
        <is>
          <t>5.4.2.8</t>
        </is>
      </c>
      <c r="D55" s="7" t="inlineStr">
        <is>
          <t>Dùng chữ ký số khi trao đổi dữ liệu nhạy cảm cao, dữ liệu quan trọng</t>
        </is>
      </c>
      <c r="E55" s="11" t="inlineStr"/>
      <c r="F55" s="7" t="inlineStr">
        <is>
          <t>Quy định + mẫu văn bản đã ký số</t>
        </is>
      </c>
      <c r="G55" s="7" t="inlineStr">
        <is>
          <t>Mới/khác so với cấp 2</t>
        </is>
      </c>
      <c r="H55" s="11" t="inlineStr"/>
      <c r="I55" s="11" t="inlineStr"/>
    </row>
    <row r="56">
      <c r="A56" s="7" t="inlineStr">
        <is>
          <t>5.5</t>
        </is>
      </c>
      <c r="B56" s="7" t="inlineStr">
        <is>
          <t>Cấu hình an toàn phần cứng, phần mềm</t>
        </is>
      </c>
      <c r="C56" s="7" t="inlineStr">
        <is>
          <t>5.5.2.1 a)</t>
        </is>
      </c>
      <c r="D56" s="7" t="inlineStr">
        <is>
          <t>Ban hành quy định/quy trình cấu hình an toàn cho phần cứng và phần mềm</t>
        </is>
      </c>
      <c r="E56" s="11" t="inlineStr"/>
      <c r="F56" s="7" t="inlineStr">
        <is>
          <t>Quy trình cấu hình an toàn</t>
        </is>
      </c>
      <c r="G56" s="7" t="inlineStr"/>
      <c r="H56" s="11" t="inlineStr"/>
      <c r="I56" s="11" t="inlineStr"/>
    </row>
    <row r="57">
      <c r="A57" s="7" t="inlineStr">
        <is>
          <t>5.5</t>
        </is>
      </c>
      <c r="B57" s="7" t="inlineStr">
        <is>
          <t>Cấu hình an toàn phần cứng, phần mềm</t>
        </is>
      </c>
      <c r="C57" s="7" t="inlineStr">
        <is>
          <t>5.5.2.1 b)</t>
        </is>
      </c>
      <c r="D57" s="7" t="inlineStr">
        <is>
          <t>Có tài liệu cấu hình chuẩn/hardening; giao thức an toàn; tường lửa host; chống tự động đăng nhập trên tài sản xử lý dữ liệu quan trọng</t>
        </is>
      </c>
      <c r="E57" s="11" t="inlineStr"/>
      <c r="F57" s="7" t="inlineStr">
        <is>
          <t>Baseline cấu hình (vd theo CIS), ảnh chụp cấu hình</t>
        </is>
      </c>
      <c r="G57" s="7" t="inlineStr"/>
      <c r="H57" s="11" t="inlineStr"/>
      <c r="I57" s="11" t="inlineStr"/>
    </row>
    <row r="58">
      <c r="A58" s="7" t="inlineStr">
        <is>
          <t>5.5</t>
        </is>
      </c>
      <c r="B58" s="7" t="inlineStr">
        <is>
          <t>Cấu hình an toàn phần cứng, phần mềm</t>
        </is>
      </c>
      <c r="C58" s="7" t="inlineStr">
        <is>
          <t>5.5.2.1 c)</t>
        </is>
      </c>
      <c r="D58" s="7" t="inlineStr">
        <is>
          <t>Tắt giao thức mạng không an toàn và dịch vụ không dùng</t>
        </is>
      </c>
      <c r="E58" s="11" t="inlineStr"/>
      <c r="F58" s="7" t="inlineStr">
        <is>
          <t>Kết quả quét cổng/dịch vụ</t>
        </is>
      </c>
      <c r="G58" s="7" t="inlineStr"/>
      <c r="H58" s="11" t="inlineStr"/>
      <c r="I58" s="11" t="inlineStr"/>
    </row>
    <row r="59">
      <c r="A59" s="7" t="inlineStr">
        <is>
          <t>5.5</t>
        </is>
      </c>
      <c r="B59" s="7" t="inlineStr">
        <is>
          <t>Cấu hình an toàn phần cứng, phần mềm</t>
        </is>
      </c>
      <c r="C59" s="7" t="inlineStr">
        <is>
          <t>5.5.2.1 d)</t>
        </is>
      </c>
      <c r="D59" s="7" t="inlineStr">
        <is>
          <t>Hardening thiết bị trước khi đưa vào vận hành</t>
        </is>
      </c>
      <c r="E59" s="11" t="inlineStr"/>
      <c r="F59" s="7" t="inlineStr">
        <is>
          <t>Checklist hardening trước go-live</t>
        </is>
      </c>
      <c r="G59" s="7" t="inlineStr">
        <is>
          <t>Mới/khác so với cấp 2</t>
        </is>
      </c>
      <c r="H59" s="11" t="inlineStr"/>
      <c r="I59" s="11" t="inlineStr"/>
    </row>
    <row r="60">
      <c r="A60" s="7" t="inlineStr">
        <is>
          <t>5.5</t>
        </is>
      </c>
      <c r="B60" s="7" t="inlineStr">
        <is>
          <t>Cấu hình an toàn phần cứng, phần mềm</t>
        </is>
      </c>
      <c r="C60" s="7" t="inlineStr">
        <is>
          <t>5.5.2.1 e)</t>
        </is>
      </c>
      <c r="D60" s="7" t="inlineStr">
        <is>
          <t>Rà soát quy định và tài liệu cấu hình ≥ 1 lần/năm hoặc khi thay đổi</t>
        </is>
      </c>
      <c r="E60" s="11" t="inlineStr"/>
      <c r="F60" s="7" t="inlineStr">
        <is>
          <t>Lịch sử phiên bản</t>
        </is>
      </c>
      <c r="G60" s="7" t="inlineStr"/>
      <c r="H60" s="11" t="inlineStr"/>
      <c r="I60" s="11" t="inlineStr"/>
    </row>
    <row r="61">
      <c r="A61" s="7" t="inlineStr">
        <is>
          <t>5.5</t>
        </is>
      </c>
      <c r="B61" s="7" t="inlineStr">
        <is>
          <t>Cấu hình an toàn phần cứng, phần mềm</t>
        </is>
      </c>
      <c r="C61" s="7" t="inlineStr">
        <is>
          <t>5.5.2.2 a)</t>
        </is>
      </c>
      <c r="D61" s="7" t="inlineStr">
        <is>
          <t>Tự khóa phiên theo đánh giá rủi ro — gợi ý: máy người dùng ≤ 15'; phiên quản trị, di động ≤ 5'; phần mềm nghiệp vụ dữ liệu quan trọng ≤ 15'</t>
        </is>
      </c>
      <c r="E61" s="11" t="inlineStr"/>
      <c r="F61" s="7" t="inlineStr">
        <is>
          <t>GPO/MDM/cấu hình timeout</t>
        </is>
      </c>
      <c r="G61" s="7" t="inlineStr"/>
      <c r="H61" s="11" t="inlineStr"/>
      <c r="I61" s="11" t="inlineStr"/>
    </row>
    <row r="62">
      <c r="A62" s="7" t="inlineStr">
        <is>
          <t>5.5</t>
        </is>
      </c>
      <c r="B62" s="7" t="inlineStr">
        <is>
          <t>Cấu hình an toàn phần cứng, phần mềm</t>
        </is>
      </c>
      <c r="C62" s="7" t="inlineStr">
        <is>
          <t>5.5.2.2 a)</t>
        </is>
      </c>
      <c r="D62" s="7" t="inlineStr">
        <is>
          <t>Khóa khi đăng nhập sai — gợi ý: laptop, điện thoại ≤ 10 lần; phần mềm nghiệp vụ dữ liệu quan trọng ≤ 5 lần; khóa 12 giờ–30 ngày</t>
        </is>
      </c>
      <c r="E62" s="11" t="inlineStr"/>
      <c r="F62" s="7" t="inlineStr">
        <is>
          <t>Cấu hình lockout</t>
        </is>
      </c>
      <c r="G62" s="7" t="inlineStr"/>
      <c r="H62" s="11" t="inlineStr"/>
      <c r="I62" s="11" t="inlineStr"/>
    </row>
    <row r="63">
      <c r="A63" s="7" t="inlineStr">
        <is>
          <t>5.5</t>
        </is>
      </c>
      <c r="B63" s="7" t="inlineStr">
        <is>
          <t>Cấu hình an toàn phần cứng, phần mềm</t>
        </is>
      </c>
      <c r="C63" s="7" t="inlineStr">
        <is>
          <t>5.5.2.2 b)</t>
        </is>
      </c>
      <c r="D63" s="7" t="inlineStr">
        <is>
          <t>Có cơ chế mở khóa khẩn cấp cho quản trị viên/tài khoản đặc quyền</t>
        </is>
      </c>
      <c r="E63" s="11" t="inlineStr"/>
      <c r="F63" s="7" t="inlineStr">
        <is>
          <t>Quy trình break-glass</t>
        </is>
      </c>
      <c r="G63" s="7" t="inlineStr"/>
      <c r="H63" s="11" t="inlineStr"/>
      <c r="I63" s="11" t="inlineStr"/>
    </row>
    <row r="64">
      <c r="A64" s="7" t="inlineStr">
        <is>
          <t>5.6</t>
        </is>
      </c>
      <c r="B64" s="7" t="inlineStr">
        <is>
          <t>Quản lý tài khoản và quyền truy cập</t>
        </is>
      </c>
      <c r="C64" s="7" t="inlineStr">
        <is>
          <t>5.6.1 a)</t>
        </is>
      </c>
      <c r="D64" s="7" t="inlineStr">
        <is>
          <t>Quy trình, công cụ cấp/thu hồi quyền cho 4 loại tài khoản (quản trị, tác nghiệp, kỹ thuật, dịch vụ) theo vai trò</t>
        </is>
      </c>
      <c r="E64" s="11" t="inlineStr"/>
      <c r="F64" s="7" t="inlineStr">
        <is>
          <t>Quy trình quản lý tài khoản</t>
        </is>
      </c>
      <c r="G64" s="7" t="inlineStr"/>
      <c r="H64" s="11" t="inlineStr"/>
      <c r="I64" s="11" t="inlineStr"/>
    </row>
    <row r="65">
      <c r="A65" s="7" t="inlineStr">
        <is>
          <t>5.6</t>
        </is>
      </c>
      <c r="B65" s="7" t="inlineStr">
        <is>
          <t>Quản lý tài khoản và quyền truy cập</t>
        </is>
      </c>
      <c r="C65" s="7" t="inlineStr">
        <is>
          <t>5.6.1 c)</t>
        </is>
      </c>
      <c r="D65" s="7" t="inlineStr">
        <is>
          <t>Ghi log và giám sát hoạt động của tài khoản người dùng</t>
        </is>
      </c>
      <c r="E65" s="11" t="inlineStr"/>
      <c r="F65" s="7" t="inlineStr">
        <is>
          <t>Cấu hình audit log đăng nhập</t>
        </is>
      </c>
      <c r="G65" s="7" t="inlineStr"/>
      <c r="H65" s="11" t="inlineStr"/>
      <c r="I65" s="11" t="inlineStr"/>
    </row>
    <row r="66">
      <c r="A66" s="7" t="inlineStr">
        <is>
          <t>5.6</t>
        </is>
      </c>
      <c r="B66" s="7" t="inlineStr">
        <is>
          <t>Quản lý tài khoản và quyền truy cập</t>
        </is>
      </c>
      <c r="C66" s="7" t="inlineStr">
        <is>
          <t>5.6.2.1 a)</t>
        </is>
      </c>
      <c r="D66" s="7" t="inlineStr">
        <is>
          <t>Danh sách mọi tài khoản trên phần cứng và phần mềm</t>
        </is>
      </c>
      <c r="E66" s="11" t="inlineStr"/>
      <c r="F66" s="7" t="inlineStr">
        <is>
          <t>Danh sách tài khoản</t>
        </is>
      </c>
      <c r="G66" s="7" t="inlineStr"/>
      <c r="H66" s="11" t="inlineStr"/>
      <c r="I66" s="11" t="inlineStr"/>
    </row>
    <row r="67">
      <c r="A67" s="7" t="inlineStr">
        <is>
          <t>5.6</t>
        </is>
      </c>
      <c r="B67" s="7" t="inlineStr">
        <is>
          <t>Quản lý tài khoản và quyền truy cập</t>
        </is>
      </c>
      <c r="C67" s="7" t="inlineStr">
        <is>
          <t>5.6.2.1 b)</t>
        </is>
      </c>
      <c r="D67" s="7" t="inlineStr">
        <is>
          <t>Danh sách gồm tối thiểu: tài khoản quản trị, tác nghiệp, kỹ thuật</t>
        </is>
      </c>
      <c r="E67" s="11" t="inlineStr"/>
      <c r="F67" s="7" t="inlineStr">
        <is>
          <t>Danh sách tài khoản phân loại</t>
        </is>
      </c>
      <c r="G67" s="7" t="inlineStr"/>
      <c r="H67" s="11" t="inlineStr"/>
      <c r="I67" s="11" t="inlineStr"/>
    </row>
    <row r="68">
      <c r="A68" s="7" t="inlineStr">
        <is>
          <t>5.6</t>
        </is>
      </c>
      <c r="B68" s="7" t="inlineStr">
        <is>
          <t>Quản lý tài khoản và quyền truy cập</t>
        </is>
      </c>
      <c r="C68" s="7" t="inlineStr">
        <is>
          <t>5.6.2.1 c)</t>
        </is>
      </c>
      <c r="D68" s="7" t="inlineStr">
        <is>
          <t>Trường tối thiểu: loại, tên, trạng thái, hệ thống, người quản lý, phòng ban, ngày kích hoạt/vô hiệu; không còn tài khoản không hợp lệ</t>
        </is>
      </c>
      <c r="E68" s="11" t="inlineStr"/>
      <c r="F68" s="7" t="inlineStr">
        <is>
          <t>Danh sách có đủ trường</t>
        </is>
      </c>
      <c r="G68" s="7" t="inlineStr"/>
      <c r="H68" s="11" t="inlineStr"/>
      <c r="I68" s="11" t="inlineStr"/>
    </row>
    <row r="69">
      <c r="A69" s="7" t="inlineStr">
        <is>
          <t>5.6</t>
        </is>
      </c>
      <c r="B69" s="7" t="inlineStr">
        <is>
          <t>Quản lý tài khoản và quyền truy cập</t>
        </is>
      </c>
      <c r="C69" s="7" t="inlineStr">
        <is>
          <t>5.6.2.1 d)</t>
        </is>
      </c>
      <c r="D69" s="7" t="inlineStr">
        <is>
          <t>Rà soát danh sách tài khoản ≥ 1 lần/6 tháng</t>
        </is>
      </c>
      <c r="E69" s="11" t="inlineStr"/>
      <c r="F69" s="7" t="inlineStr">
        <is>
          <t>Biên bản rà soát</t>
        </is>
      </c>
      <c r="G69" s="7" t="inlineStr">
        <is>
          <t>Mới/khác so với cấp 2</t>
        </is>
      </c>
      <c r="H69" s="11" t="inlineStr"/>
      <c r="I69" s="11" t="inlineStr"/>
    </row>
    <row r="70">
      <c r="A70" s="7" t="inlineStr">
        <is>
          <t>5.6</t>
        </is>
      </c>
      <c r="B70" s="7" t="inlineStr">
        <is>
          <t>Quản lý tài khoản và quyền truy cập</t>
        </is>
      </c>
      <c r="C70" s="7" t="inlineStr">
        <is>
          <t>5.6.2.2 a)</t>
        </is>
      </c>
      <c r="D70" s="7" t="inlineStr">
        <is>
          <t>Cấu hình bắt đổi mật khẩu mặc định; quy tắc độ dài, loại ký tự; thời hạn đổi và thời hạn hiệu lực mật khẩu</t>
        </is>
      </c>
      <c r="E70" s="11" t="inlineStr"/>
      <c r="F70" s="7" t="inlineStr">
        <is>
          <t>Chính sách mật khẩu (GPO/IdP)</t>
        </is>
      </c>
      <c r="G70" s="7" t="inlineStr"/>
      <c r="H70" s="11" t="inlineStr"/>
      <c r="I70" s="11" t="inlineStr"/>
    </row>
    <row r="71">
      <c r="A71" s="7" t="inlineStr">
        <is>
          <t>5.6</t>
        </is>
      </c>
      <c r="B71" s="7" t="inlineStr">
        <is>
          <t>Quản lý tài khoản và quyền truy cập</t>
        </is>
      </c>
      <c r="C71" s="7" t="inlineStr">
        <is>
          <t>5.6.2.2 b)</t>
        </is>
      </c>
      <c r="D71" s="7" t="inlineStr">
        <is>
          <t>Gợi ý: mật khẩu riêng cho từng tài sản hoặc xác thực tập trung; bắt đổi ở lần đăng nhập đầu</t>
        </is>
      </c>
      <c r="E71" s="11" t="inlineStr"/>
      <c r="F71" s="7" t="inlineStr">
        <is>
          <t>Cấu hình IdP/SSO</t>
        </is>
      </c>
      <c r="G71" s="7" t="inlineStr"/>
      <c r="H71" s="11" t="inlineStr"/>
      <c r="I71" s="11" t="inlineStr"/>
    </row>
    <row r="72">
      <c r="A72" s="7" t="inlineStr">
        <is>
          <t>5.6</t>
        </is>
      </c>
      <c r="B72" s="7" t="inlineStr">
        <is>
          <t>Quản lý tài khoản và quyền truy cập</t>
        </is>
      </c>
      <c r="C72" s="7" t="inlineStr">
        <is>
          <t>5.6.2.2 b)</t>
        </is>
      </c>
      <c r="D72" s="7" t="inlineStr">
        <is>
          <t>Gợi ý độ dài: ≥ 8 ký tự nếu có MFA; ≥ 14 ký tự gồm đủ 4 loại ký tự nếu không có MFA</t>
        </is>
      </c>
      <c r="E72" s="11" t="inlineStr"/>
      <c r="F72" s="7" t="inlineStr">
        <is>
          <t>Chính sách mật khẩu</t>
        </is>
      </c>
      <c r="G72" s="7" t="inlineStr"/>
      <c r="H72" s="11" t="inlineStr"/>
      <c r="I72" s="11" t="inlineStr"/>
    </row>
    <row r="73">
      <c r="A73" s="7" t="inlineStr">
        <is>
          <t>5.6</t>
        </is>
      </c>
      <c r="B73" s="7" t="inlineStr">
        <is>
          <t>Quản lý tài khoản và quyền truy cập</t>
        </is>
      </c>
      <c r="C73" s="7" t="inlineStr">
        <is>
          <t>5.6.2.2 b)</t>
        </is>
      </c>
      <c r="D73" s="7" t="inlineStr">
        <is>
          <t>Tài khoản quản trị: bật MFA, đổi mật khẩu 2 tháng/lần, không dùng lại 10 mật khẩu gần nhất</t>
        </is>
      </c>
      <c r="E73" s="11" t="inlineStr"/>
      <c r="F73" s="7" t="inlineStr">
        <is>
          <t>Cấu hình MFA/lịch sử mật khẩu</t>
        </is>
      </c>
      <c r="G73" s="7" t="inlineStr">
        <is>
          <t>Mới/khác so với cấp 2</t>
        </is>
      </c>
      <c r="H73" s="11" t="inlineStr"/>
      <c r="I73" s="11" t="inlineStr"/>
    </row>
    <row r="74">
      <c r="A74" s="7" t="inlineStr">
        <is>
          <t>5.6</t>
        </is>
      </c>
      <c r="B74" s="7" t="inlineStr">
        <is>
          <t>Quản lý tài khoản và quyền truy cập</t>
        </is>
      </c>
      <c r="C74" s="7" t="inlineStr">
        <is>
          <t>5.6.2.3</t>
        </is>
      </c>
      <c r="D74" s="7" t="inlineStr">
        <is>
          <t>Quản lý tài khoản tập trung</t>
        </is>
      </c>
      <c r="E74" s="11" t="inlineStr"/>
      <c r="F74" s="7" t="inlineStr">
        <is>
          <t>Hồ sơ IdP/AD/LDAP</t>
        </is>
      </c>
      <c r="G74" s="7" t="inlineStr">
        <is>
          <t>Mới/khác so với cấp 2</t>
        </is>
      </c>
      <c r="H74" s="11" t="inlineStr"/>
      <c r="I74" s="11" t="inlineStr"/>
    </row>
    <row r="75">
      <c r="A75" s="7" t="inlineStr">
        <is>
          <t>5.6</t>
        </is>
      </c>
      <c r="B75" s="7" t="inlineStr">
        <is>
          <t>Quản lý tài khoản và quyền truy cập</t>
        </is>
      </c>
      <c r="C75" s="7" t="inlineStr">
        <is>
          <t>5.6.2.3</t>
        </is>
      </c>
      <c r="D75" s="7" t="inlineStr">
        <is>
          <t>Đổi hoặc vô hiệu hóa tài khoản mặc định (root, administrator, tài khoản cài sẵn của hãng)</t>
        </is>
      </c>
      <c r="E75" s="11" t="inlineStr"/>
      <c r="F75" s="7" t="inlineStr">
        <is>
          <t>Danh sách tài khoản mặc định đã xử lý</t>
        </is>
      </c>
      <c r="G75" s="7" t="inlineStr"/>
      <c r="H75" s="11" t="inlineStr"/>
      <c r="I75" s="11" t="inlineStr"/>
    </row>
    <row r="76">
      <c r="A76" s="7" t="inlineStr">
        <is>
          <t>5.6</t>
        </is>
      </c>
      <c r="B76" s="7" t="inlineStr">
        <is>
          <t>Quản lý tài khoản và quyền truy cập</t>
        </is>
      </c>
      <c r="C76" s="7" t="inlineStr">
        <is>
          <t>5.6.2.3</t>
        </is>
      </c>
      <c r="D76" s="7" t="inlineStr">
        <is>
          <t>Tách biệt quản lý 4 loại tài khoản</t>
        </is>
      </c>
      <c r="E76" s="11" t="inlineStr"/>
      <c r="F76" s="7" t="inlineStr">
        <is>
          <t>Quy định + danh sách phân loại</t>
        </is>
      </c>
      <c r="G76" s="7" t="inlineStr"/>
      <c r="H76" s="11" t="inlineStr"/>
      <c r="I76" s="11" t="inlineStr"/>
    </row>
    <row r="77">
      <c r="A77" s="7" t="inlineStr">
        <is>
          <t>5.6</t>
        </is>
      </c>
      <c r="B77" s="7" t="inlineStr">
        <is>
          <t>Quản lý tài khoản và quyền truy cập</t>
        </is>
      </c>
      <c r="C77" s="7" t="inlineStr">
        <is>
          <t>5.6.2.3</t>
        </is>
      </c>
      <c r="D77" s="7" t="inlineStr">
        <is>
          <t>Mỗi tài khoản gắn một người; dùng chung phải được phê duyệt và truy vết được người dùng từng thời điểm</t>
        </is>
      </c>
      <c r="E77" s="11" t="inlineStr"/>
      <c r="F77" s="7" t="inlineStr">
        <is>
          <t>Phê duyệt tài khoản dùng chung, sổ theo dõi</t>
        </is>
      </c>
      <c r="G77" s="7" t="inlineStr"/>
      <c r="H77" s="11" t="inlineStr"/>
      <c r="I77" s="11" t="inlineStr"/>
    </row>
    <row r="78">
      <c r="A78" s="7" t="inlineStr">
        <is>
          <t>5.6</t>
        </is>
      </c>
      <c r="B78" s="7" t="inlineStr">
        <is>
          <t>Quản lý tài khoản và quyền truy cập</t>
        </is>
      </c>
      <c r="C78" s="7" t="inlineStr">
        <is>
          <t>5.6.2.3</t>
        </is>
      </c>
      <c r="D78" s="7" t="inlineStr">
        <is>
          <t>Xóa/vô hiệu hóa tài khoản không hoạt động quá 45 ngày hoặc ngay khi đổi nhân sự</t>
        </is>
      </c>
      <c r="E78" s="11" t="inlineStr"/>
      <c r="F78" s="7" t="inlineStr">
        <is>
          <t>Báo cáo tài khoản inactive</t>
        </is>
      </c>
      <c r="G78" s="7" t="inlineStr"/>
      <c r="H78" s="11" t="inlineStr"/>
      <c r="I78" s="11" t="inlineStr"/>
    </row>
    <row r="79">
      <c r="A79" s="7" t="inlineStr">
        <is>
          <t>5.6</t>
        </is>
      </c>
      <c r="B79" s="7" t="inlineStr">
        <is>
          <t>Quản lý tài khoản và quyền truy cập</t>
        </is>
      </c>
      <c r="C79" s="7" t="inlineStr">
        <is>
          <t>5.6.2.3</t>
        </is>
      </c>
      <c r="D79" s="7" t="inlineStr">
        <is>
          <t>Rà soát quy định quản lý tài khoản ≥ 1 lần/năm hoặc khi thay đổi</t>
        </is>
      </c>
      <c r="E79" s="11" t="inlineStr"/>
      <c r="F79" s="7" t="inlineStr">
        <is>
          <t>Lịch sử phiên bản</t>
        </is>
      </c>
      <c r="G79" s="7" t="inlineStr"/>
      <c r="H79" s="11" t="inlineStr"/>
      <c r="I79" s="11" t="inlineStr"/>
    </row>
    <row r="80">
      <c r="A80" s="7" t="inlineStr">
        <is>
          <t>5.6</t>
        </is>
      </c>
      <c r="B80" s="7" t="inlineStr">
        <is>
          <t>Quản lý tài khoản và quyền truy cập</t>
        </is>
      </c>
      <c r="C80" s="7" t="inlineStr">
        <is>
          <t>5.6.2.4</t>
        </is>
      </c>
      <c r="D80" s="7" t="inlineStr">
        <is>
          <t>Áp dụng đặc quyền tối thiểu và phân tách nhiệm vụ cho mọi loại tài khoản</t>
        </is>
      </c>
      <c r="E80" s="11" t="inlineStr"/>
      <c r="F80" s="7" t="inlineStr">
        <is>
          <t>Ma trận vai trò – quyền</t>
        </is>
      </c>
      <c r="G80" s="7" t="inlineStr"/>
      <c r="H80" s="11" t="inlineStr"/>
      <c r="I80" s="11" t="inlineStr"/>
    </row>
    <row r="81">
      <c r="A81" s="7" t="inlineStr">
        <is>
          <t>5.6</t>
        </is>
      </c>
      <c r="B81" s="7" t="inlineStr">
        <is>
          <t>Quản lý tài khoản và quyền truy cập</t>
        </is>
      </c>
      <c r="C81" s="7" t="inlineStr">
        <is>
          <t>5.6.2.4</t>
        </is>
      </c>
      <c r="D81" s="7" t="inlineStr">
        <is>
          <t>Tài liệu hóa quyền cần thiết theo chức danh, bộ phận</t>
        </is>
      </c>
      <c r="E81" s="11" t="inlineStr"/>
      <c r="F81" s="7" t="inlineStr">
        <is>
          <t>Ma trận quyền theo chức danh</t>
        </is>
      </c>
      <c r="G81" s="7" t="inlineStr"/>
      <c r="H81" s="11" t="inlineStr"/>
      <c r="I81" s="11" t="inlineStr"/>
    </row>
    <row r="82">
      <c r="A82" s="7" t="inlineStr">
        <is>
          <t>5.6</t>
        </is>
      </c>
      <c r="B82" s="7" t="inlineStr">
        <is>
          <t>Quản lý tài khoản và quyền truy cập</t>
        </is>
      </c>
      <c r="C82" s="7" t="inlineStr">
        <is>
          <t>5.6.2.4</t>
        </is>
      </c>
      <c r="D82" s="7" t="inlineStr">
        <is>
          <t>MFA cho truy cập từ ngoài tổ chức, từ đối tác/bên thứ ba, từ Internet và cho tài khoản quản trị</t>
        </is>
      </c>
      <c r="E82" s="11" t="inlineStr"/>
      <c r="F82" s="7" t="inlineStr">
        <is>
          <t>Cấu hình MFA</t>
        </is>
      </c>
      <c r="G82" s="7" t="inlineStr"/>
      <c r="H82" s="11" t="inlineStr"/>
      <c r="I82" s="11" t="inlineStr"/>
    </row>
    <row r="83">
      <c r="A83" s="7" t="inlineStr">
        <is>
          <t>5.6</t>
        </is>
      </c>
      <c r="B83" s="7" t="inlineStr">
        <is>
          <t>Quản lý tài khoản và quyền truy cập</t>
        </is>
      </c>
      <c r="C83" s="7" t="inlineStr">
        <is>
          <t>5.6.2.4</t>
        </is>
      </c>
      <c r="D83" s="7" t="inlineStr">
        <is>
          <t>Rà soát quy định quản lý truy cập ≥ 1 lần/năm hoặc khi thay đổi</t>
        </is>
      </c>
      <c r="E83" s="11" t="inlineStr"/>
      <c r="F83" s="7" t="inlineStr">
        <is>
          <t>Lịch sử phiên bản</t>
        </is>
      </c>
      <c r="G83" s="7" t="inlineStr"/>
      <c r="H83" s="11" t="inlineStr"/>
      <c r="I83" s="11" t="inlineStr"/>
    </row>
    <row r="84">
      <c r="A84" s="7" t="inlineStr">
        <is>
          <t>5.7</t>
        </is>
      </c>
      <c r="B84" s="7" t="inlineStr">
        <is>
          <t>Quản lý lỗ hổng bảo mật</t>
        </is>
      </c>
      <c r="C84" s="7" t="inlineStr">
        <is>
          <t>5.7.1 b)</t>
        </is>
      </c>
      <c r="D84" s="7" t="inlineStr">
        <is>
          <t>Theo dõi thông tin mối đe dọa, lỗ hổng mới từ nhiều nguồn</t>
        </is>
      </c>
      <c r="E84" s="11" t="inlineStr"/>
      <c r="F84" s="7" t="inlineStr">
        <is>
          <t>Nguồn tin đăng ký (NCSC, CVE, hãng…)</t>
        </is>
      </c>
      <c r="G84" s="7" t="inlineStr"/>
      <c r="H84" s="11" t="inlineStr"/>
      <c r="I84" s="11" t="inlineStr"/>
    </row>
    <row r="85">
      <c r="A85" s="7" t="inlineStr">
        <is>
          <t>5.7</t>
        </is>
      </c>
      <c r="B85" s="7" t="inlineStr">
        <is>
          <t>Quản lý lỗ hổng bảo mật</t>
        </is>
      </c>
      <c r="C85" s="7" t="inlineStr">
        <is>
          <t>5.7.2.1 a)</t>
        </is>
      </c>
      <c r="D85" s="7" t="inlineStr">
        <is>
          <t>Quy trình quản lý lỗ hổng: rà quét phát hiện, chấm mức nghiêm trọng, chia sẻ/tiếp nhận báo cáo, khắc phục theo ưu tiên và kiểm tra lại</t>
        </is>
      </c>
      <c r="E85" s="11" t="inlineStr"/>
      <c r="F85" s="7" t="inlineStr">
        <is>
          <t>Quy trình quản lý lỗ hổng</t>
        </is>
      </c>
      <c r="G85" s="7" t="inlineStr"/>
      <c r="H85" s="11" t="inlineStr"/>
      <c r="I85" s="11" t="inlineStr"/>
    </row>
    <row r="86">
      <c r="A86" s="7" t="inlineStr">
        <is>
          <t>5.7</t>
        </is>
      </c>
      <c r="B86" s="7" t="inlineStr">
        <is>
          <t>Quản lý lỗ hổng bảo mật</t>
        </is>
      </c>
      <c r="C86" s="7" t="inlineStr">
        <is>
          <t>5.7.2.1 b)</t>
        </is>
      </c>
      <c r="D86" s="7" t="inlineStr">
        <is>
          <t>Rà soát quy trình và thực hiện rà quét lỗ hổng ≥ 1 lần/6 tháng hoặc khi thay đổi</t>
        </is>
      </c>
      <c r="E86" s="11" t="inlineStr"/>
      <c r="F86" s="7" t="inlineStr">
        <is>
          <t>Báo cáo rà quét, biên bản rà soát</t>
        </is>
      </c>
      <c r="G86" s="7" t="inlineStr">
        <is>
          <t>Mới/khác so với cấp 2</t>
        </is>
      </c>
      <c r="H86" s="11" t="inlineStr"/>
      <c r="I86" s="11" t="inlineStr"/>
    </row>
    <row r="87">
      <c r="A87" s="7" t="inlineStr">
        <is>
          <t>5.7</t>
        </is>
      </c>
      <c r="B87" s="7" t="inlineStr">
        <is>
          <t>Quản lý lỗ hổng bảo mật</t>
        </is>
      </c>
      <c r="C87" s="7" t="inlineStr">
        <is>
          <t>5.7.2.2</t>
        </is>
      </c>
      <c r="D87" s="7" t="inlineStr">
        <is>
          <t>Có máy chủ quản lý bản vá tập trung cho toàn bộ tài sản</t>
        </is>
      </c>
      <c r="E87" s="11" t="inlineStr"/>
      <c r="F87" s="7" t="inlineStr">
        <is>
          <t>Hồ sơ WSUS/SCCM/tương đương</t>
        </is>
      </c>
      <c r="G87" s="7" t="inlineStr">
        <is>
          <t>Mới/khác so với cấp 2</t>
        </is>
      </c>
      <c r="H87" s="11" t="inlineStr"/>
      <c r="I87" s="11" t="inlineStr"/>
    </row>
    <row r="88">
      <c r="A88" s="7" t="inlineStr">
        <is>
          <t>5.7</t>
        </is>
      </c>
      <c r="B88" s="7" t="inlineStr">
        <is>
          <t>Quản lý lỗ hổng bảo mật</t>
        </is>
      </c>
      <c r="C88" s="7" t="inlineStr">
        <is>
          <t>5.7.2.2</t>
        </is>
      </c>
      <c r="D88" s="7" t="inlineStr">
        <is>
          <t>Trước khi vá hệ thống có dữ liệu quan trọng: đánh giá tác động, thử nghiệm, có phương án khôi phục</t>
        </is>
      </c>
      <c r="E88" s="11" t="inlineStr"/>
      <c r="F88" s="7" t="inlineStr">
        <is>
          <t>Biên bản thử nghiệm bản vá</t>
        </is>
      </c>
      <c r="G88" s="7" t="inlineStr"/>
      <c r="H88" s="11" t="inlineStr"/>
      <c r="I88" s="11" t="inlineStr"/>
    </row>
    <row r="89">
      <c r="A89" s="7" t="inlineStr">
        <is>
          <t>5.7</t>
        </is>
      </c>
      <c r="B89" s="7" t="inlineStr">
        <is>
          <t>Quản lý lỗ hổng bảo mật</t>
        </is>
      </c>
      <c r="C89" s="7" t="inlineStr">
        <is>
          <t>5.7.2.2</t>
        </is>
      </c>
      <c r="D89" s="7" t="inlineStr">
        <is>
          <t>Kiểm tra, cập nhật bản vá HĐH và ứng dụng cho máy tính, di động cấp cho người dùng ≥ 1 lần/tháng</t>
        </is>
      </c>
      <c r="E89" s="11" t="inlineStr"/>
      <c r="F89" s="7" t="inlineStr">
        <is>
          <t>Báo cáo tuân thủ bản vá hằng tháng</t>
        </is>
      </c>
      <c r="G89" s="7" t="inlineStr"/>
      <c r="H89" s="11" t="inlineStr"/>
      <c r="I89" s="11" t="inlineStr"/>
    </row>
    <row r="90">
      <c r="A90" s="7" t="inlineStr">
        <is>
          <t>5.7</t>
        </is>
      </c>
      <c r="B90" s="7" t="inlineStr">
        <is>
          <t>Quản lý lỗ hổng bảo mật</t>
        </is>
      </c>
      <c r="C90" s="7" t="inlineStr">
        <is>
          <t>5.7.2.2</t>
        </is>
      </c>
      <c r="D90" s="7" t="inlineStr">
        <is>
          <t>Giám sát để phát hiện lỗ hổng mới và vá kịp thời</t>
        </is>
      </c>
      <c r="E90" s="11" t="inlineStr"/>
      <c r="F90" s="7" t="inlineStr">
        <is>
          <t>Nhật ký vá</t>
        </is>
      </c>
      <c r="G90" s="7" t="inlineStr"/>
      <c r="H90" s="11" t="inlineStr"/>
      <c r="I90" s="11" t="inlineStr"/>
    </row>
    <row r="91">
      <c r="A91" s="7" t="inlineStr">
        <is>
          <t>5.8</t>
        </is>
      </c>
      <c r="B91" s="7" t="inlineStr">
        <is>
          <t>Quản lý nhật ký an ninh mạng</t>
        </is>
      </c>
      <c r="C91" s="7" t="inlineStr">
        <is>
          <t>5.8.2.1 a)</t>
        </is>
      </c>
      <c r="D91" s="7" t="inlineStr">
        <is>
          <t>Quy định quản lý log: cách ghi, thu thập, kiểm tra, lưu trữ</t>
        </is>
      </c>
      <c r="E91" s="11" t="inlineStr"/>
      <c r="F91" s="7" t="inlineStr">
        <is>
          <t>Quy định quản lý nhật ký</t>
        </is>
      </c>
      <c r="G91" s="7" t="inlineStr"/>
      <c r="H91" s="11" t="inlineStr"/>
      <c r="I91" s="11" t="inlineStr"/>
    </row>
    <row r="92">
      <c r="A92" s="7" t="inlineStr">
        <is>
          <t>5.8</t>
        </is>
      </c>
      <c r="B92" s="7" t="inlineStr">
        <is>
          <t>Quản lý nhật ký an ninh mạng</t>
        </is>
      </c>
      <c r="C92" s="7" t="inlineStr">
        <is>
          <t>5.8.2.1 a)</t>
        </is>
      </c>
      <c r="D92" s="7" t="inlineStr">
        <is>
          <t>Thu thập tối thiểu: log truy cập hệ thống, log tiến trình, log ứng dụng, log cảnh báo</t>
        </is>
      </c>
      <c r="E92" s="11" t="inlineStr"/>
      <c r="F92" s="7" t="inlineStr">
        <is>
          <t>Danh sách nguồn log</t>
        </is>
      </c>
      <c r="G92" s="7" t="inlineStr">
        <is>
          <t>Mới/khác so với cấp 2</t>
        </is>
      </c>
      <c r="H92" s="11" t="inlineStr"/>
      <c r="I92" s="11" t="inlineStr"/>
    </row>
    <row r="93">
      <c r="A93" s="7" t="inlineStr">
        <is>
          <t>5.8</t>
        </is>
      </c>
      <c r="B93" s="7" t="inlineStr">
        <is>
          <t>Quản lý nhật ký an ninh mạng</t>
        </is>
      </c>
      <c r="C93" s="7" t="inlineStr">
        <is>
          <t>5.8.2.1 a)</t>
        </is>
      </c>
      <c r="D93" s="7" t="inlineStr">
        <is>
          <t>Log truy cập có nguồn/đích (kèm MAC), tài khoản, thời điểm, hành vi; log cảnh báo đủ trường tối thiểu</t>
        </is>
      </c>
      <c r="E93" s="11" t="inlineStr"/>
      <c r="F93" s="7" t="inlineStr">
        <is>
          <t>Mẫu bản ghi log</t>
        </is>
      </c>
      <c r="G93" s="7" t="inlineStr">
        <is>
          <t>Mới/khác so với cấp 2</t>
        </is>
      </c>
      <c r="H93" s="11" t="inlineStr"/>
      <c r="I93" s="11" t="inlineStr"/>
    </row>
    <row r="94">
      <c r="A94" s="7" t="inlineStr">
        <is>
          <t>5.8</t>
        </is>
      </c>
      <c r="B94" s="7" t="inlineStr">
        <is>
          <t>Quản lý nhật ký an ninh mạng</t>
        </is>
      </c>
      <c r="C94" s="7" t="inlineStr">
        <is>
          <t>5.8.2.1 a)</t>
        </is>
      </c>
      <c r="D94" s="7" t="inlineStr">
        <is>
          <t>Log tiến trình có: thiết bị, tên/mã/tiến trình cha/lệnh khởi tạo, tài khoản, thời điểm</t>
        </is>
      </c>
      <c r="E94" s="11" t="inlineStr"/>
      <c r="F94" s="7" t="inlineStr">
        <is>
          <t>Mẫu log tiến trình (vd Sysmon/auditd)</t>
        </is>
      </c>
      <c r="G94" s="7" t="inlineStr">
        <is>
          <t>Mới/khác so với cấp 2</t>
        </is>
      </c>
      <c r="H94" s="11" t="inlineStr"/>
      <c r="I94" s="11" t="inlineStr"/>
    </row>
    <row r="95">
      <c r="A95" s="7" t="inlineStr">
        <is>
          <t>5.8</t>
        </is>
      </c>
      <c r="B95" s="7" t="inlineStr">
        <is>
          <t>Quản lý nhật ký an ninh mạng</t>
        </is>
      </c>
      <c r="C95" s="7" t="inlineStr">
        <is>
          <t>5.8.2.1 a)</t>
        </is>
      </c>
      <c r="D95" s="7" t="inlineStr">
        <is>
          <t>Đồng bộ thời gian qua máy chủ thời gian (NTP) cho mọi thành phần tham gia giám sát</t>
        </is>
      </c>
      <c r="E95" s="11" t="inlineStr"/>
      <c r="F95" s="7" t="inlineStr">
        <is>
          <t>Cấu hình NTP</t>
        </is>
      </c>
      <c r="G95" s="7" t="inlineStr"/>
      <c r="H95" s="11" t="inlineStr"/>
      <c r="I95" s="11" t="inlineStr"/>
    </row>
    <row r="96">
      <c r="A96" s="7" t="inlineStr">
        <is>
          <t>5.8</t>
        </is>
      </c>
      <c r="B96" s="7" t="inlineStr">
        <is>
          <t>Quản lý nhật ký an ninh mạng</t>
        </is>
      </c>
      <c r="C96" s="7" t="inlineStr">
        <is>
          <t>5.8.2.1 a)</t>
        </is>
      </c>
      <c r="D96" s="7" t="inlineStr">
        <is>
          <t>SIEM (hoặc tương đương) để quản lý, phân tích sự kiện tập trung</t>
        </is>
      </c>
      <c r="E96" s="11" t="inlineStr"/>
      <c r="F96" s="7" t="inlineStr">
        <is>
          <t>Hồ sơ SIEM</t>
        </is>
      </c>
      <c r="G96" s="7" t="inlineStr">
        <is>
          <t>Mới/khác so với cấp 2</t>
        </is>
      </c>
      <c r="H96" s="11" t="inlineStr"/>
      <c r="I96" s="11" t="inlineStr"/>
    </row>
    <row r="97">
      <c r="A97" s="7" t="inlineStr">
        <is>
          <t>5.8</t>
        </is>
      </c>
      <c r="B97" s="7" t="inlineStr">
        <is>
          <t>Quản lý nhật ký an ninh mạng</t>
        </is>
      </c>
      <c r="C97" s="7" t="inlineStr">
        <is>
          <t>5.8.2.1 a)</t>
        </is>
      </c>
      <c r="D97" s="7" t="inlineStr">
        <is>
          <t>Lưu trữ, quản lý tập trung log từ các thiết bị</t>
        </is>
      </c>
      <c r="E97" s="11" t="inlineStr"/>
      <c r="F97" s="7" t="inlineStr">
        <is>
          <t>Kiến trúc thu thập log</t>
        </is>
      </c>
      <c r="G97" s="7" t="inlineStr">
        <is>
          <t>Mới/khác so với cấp 2</t>
        </is>
      </c>
      <c r="H97" s="11" t="inlineStr"/>
      <c r="I97" s="11" t="inlineStr"/>
    </row>
    <row r="98">
      <c r="A98" s="7" t="inlineStr">
        <is>
          <t>5.8</t>
        </is>
      </c>
      <c r="B98" s="7" t="inlineStr">
        <is>
          <t>Quản lý nhật ký an ninh mạng</t>
        </is>
      </c>
      <c r="C98" s="7" t="inlineStr">
        <is>
          <t>5.8.2.1 a)</t>
        </is>
      </c>
      <c r="D98" s="7" t="inlineStr">
        <is>
          <t>Bảo đảm dung lượng lưu log tối thiểu 3 tháng; có cảnh báo sắp đầy dung lượng</t>
        </is>
      </c>
      <c r="E98" s="11" t="inlineStr"/>
      <c r="F98" s="7" t="inlineStr">
        <is>
          <t>Cấu hình retention, ảnh chụp dung lượng</t>
        </is>
      </c>
      <c r="G98" s="7" t="inlineStr">
        <is>
          <t>Mới/khác so với cấp 2</t>
        </is>
      </c>
      <c r="H98" s="11" t="inlineStr"/>
      <c r="I98" s="11" t="inlineStr"/>
    </row>
    <row r="99">
      <c r="A99" s="7" t="inlineStr">
        <is>
          <t>5.8</t>
        </is>
      </c>
      <c r="B99" s="7" t="inlineStr">
        <is>
          <t>Quản lý nhật ký an ninh mạng</t>
        </is>
      </c>
      <c r="C99" s="7" t="inlineStr">
        <is>
          <t>5.8.2.1 a)</t>
        </is>
      </c>
      <c r="D99" s="7" t="inlineStr">
        <is>
          <t>Rà soát log ANM ≥ 1 lần/6 tháng</t>
        </is>
      </c>
      <c r="E99" s="11" t="inlineStr"/>
      <c r="F99" s="7" t="inlineStr">
        <is>
          <t>Biên bản rà soát log</t>
        </is>
      </c>
      <c r="G99" s="7" t="inlineStr">
        <is>
          <t>Mới/khác so với cấp 2</t>
        </is>
      </c>
      <c r="H99" s="11" t="inlineStr"/>
      <c r="I99" s="11" t="inlineStr"/>
    </row>
    <row r="100">
      <c r="A100" s="7" t="inlineStr">
        <is>
          <t>5.8</t>
        </is>
      </c>
      <c r="B100" s="7" t="inlineStr">
        <is>
          <t>Quản lý nhật ký an ninh mạng</t>
        </is>
      </c>
      <c r="C100" s="7" t="inlineStr">
        <is>
          <t>5.8.2.1 b)</t>
        </is>
      </c>
      <c r="D100" s="7" t="inlineStr">
        <is>
          <t>Kiểm tra, cập nhật quy trình quản lý log ≥ 1 lần/năm hoặc khi thay đổi</t>
        </is>
      </c>
      <c r="E100" s="11" t="inlineStr"/>
      <c r="F100" s="7" t="inlineStr">
        <is>
          <t>Lịch sử phiên bản</t>
        </is>
      </c>
      <c r="G100" s="7" t="inlineStr"/>
      <c r="H100" s="11" t="inlineStr"/>
      <c r="I100" s="11" t="inlineStr"/>
    </row>
    <row r="101">
      <c r="A101" s="7" t="inlineStr">
        <is>
          <t>5.9</t>
        </is>
      </c>
      <c r="B101" s="7" t="inlineStr">
        <is>
          <t>Bảo vệ trình duyệt web, thư điện tử</t>
        </is>
      </c>
      <c r="C101" s="7" t="inlineStr">
        <is>
          <t>5.9.2.1 a)</t>
        </is>
      </c>
      <c r="D101" s="7" t="inlineStr">
        <is>
          <t>Danh sách trình duyệt và dịch vụ email được phép</t>
        </is>
      </c>
      <c r="E101" s="11" t="inlineStr"/>
      <c r="F101" s="7" t="inlineStr">
        <is>
          <t>Danh sách được phép</t>
        </is>
      </c>
      <c r="G101" s="7" t="inlineStr"/>
      <c r="H101" s="11" t="inlineStr"/>
      <c r="I101" s="11" t="inlineStr"/>
    </row>
    <row r="102">
      <c r="A102" s="7" t="inlineStr">
        <is>
          <t>5.9</t>
        </is>
      </c>
      <c r="B102" s="7" t="inlineStr">
        <is>
          <t>Bảo vệ trình duyệt web, thư điện tử</t>
        </is>
      </c>
      <c r="C102" s="7" t="inlineStr">
        <is>
          <t>5.9.2.1 b)</t>
        </is>
      </c>
      <c r="D102" s="7" t="inlineStr">
        <is>
          <t>Chỉ dùng phiên bản còn được hãng hỗ trợ</t>
        </is>
      </c>
      <c r="E102" s="11" t="inlineStr"/>
      <c r="F102" s="7" t="inlineStr">
        <is>
          <t>Báo cáo phiên bản</t>
        </is>
      </c>
      <c r="G102" s="7" t="inlineStr"/>
      <c r="H102" s="11" t="inlineStr"/>
      <c r="I102" s="11" t="inlineStr"/>
    </row>
    <row r="103">
      <c r="A103" s="7" t="inlineStr">
        <is>
          <t>5.9</t>
        </is>
      </c>
      <c r="B103" s="7" t="inlineStr">
        <is>
          <t>Bảo vệ trình duyệt web, thư điện tử</t>
        </is>
      </c>
      <c r="C103" s="7" t="inlineStr">
        <is>
          <t>5.9.2.1 c)</t>
        </is>
      </c>
      <c r="D103" s="7" t="inlineStr">
        <is>
          <t>Có giải pháp bảo vệ an ninh cho hệ thống email (hoặc tương đương)</t>
        </is>
      </c>
      <c r="E103" s="11" t="inlineStr"/>
      <c r="F103" s="7" t="inlineStr">
        <is>
          <t>Hồ sơ email security gateway</t>
        </is>
      </c>
      <c r="G103" s="7" t="inlineStr">
        <is>
          <t>Mới/khác so với cấp 2</t>
        </is>
      </c>
      <c r="H103" s="11" t="inlineStr"/>
      <c r="I103" s="11" t="inlineStr"/>
    </row>
    <row r="104">
      <c r="A104" s="7" t="inlineStr">
        <is>
          <t>5.9</t>
        </is>
      </c>
      <c r="B104" s="7" t="inlineStr">
        <is>
          <t>Bảo vệ trình duyệt web, thư điện tử</t>
        </is>
      </c>
      <c r="C104" s="7" t="inlineStr">
        <is>
          <t>5.9.2.1 d)</t>
        </is>
      </c>
      <c r="D104" s="7" t="inlineStr">
        <is>
          <t>Cập nhật bản vá trình duyệt, email thường xuyên (hoặc biện pháp tương đương)</t>
        </is>
      </c>
      <c r="E104" s="11" t="inlineStr"/>
      <c r="F104" s="7" t="inlineStr">
        <is>
          <t>Báo cáo bản vá</t>
        </is>
      </c>
      <c r="G104" s="7" t="inlineStr"/>
      <c r="H104" s="11" t="inlineStr"/>
      <c r="I104" s="11" t="inlineStr"/>
    </row>
    <row r="105">
      <c r="A105" s="7" t="inlineStr">
        <is>
          <t>5.9</t>
        </is>
      </c>
      <c r="B105" s="7" t="inlineStr">
        <is>
          <t>Bảo vệ trình duyệt web, thư điện tử</t>
        </is>
      </c>
      <c r="C105" s="7" t="inlineStr">
        <is>
          <t>5.9.2.2</t>
        </is>
      </c>
      <c r="D105" s="7" t="inlineStr">
        <is>
          <t>Dùng dịch vụ lọc tên miền (DNS filtering) chặn tên miền giả mạo, độc hại</t>
        </is>
      </c>
      <c r="E105" s="11" t="inlineStr"/>
      <c r="F105" s="7" t="inlineStr">
        <is>
          <t>Cấu hình DNS filtering</t>
        </is>
      </c>
      <c r="G105" s="7" t="inlineStr"/>
      <c r="H105" s="11" t="inlineStr"/>
      <c r="I105" s="11" t="inlineStr"/>
    </row>
    <row r="106">
      <c r="A106" s="7" t="inlineStr">
        <is>
          <t>5.10</t>
        </is>
      </c>
      <c r="B106" s="7" t="inlineStr">
        <is>
          <t>Phòng chống phần mềm độc hại</t>
        </is>
      </c>
      <c r="C106" s="7" t="inlineStr">
        <is>
          <t>5.10.1 a)</t>
        </is>
      </c>
      <c r="D106" s="7" t="inlineStr">
        <is>
          <t>Quy định phòng, chống, khắc phục mã độc</t>
        </is>
      </c>
      <c r="E106" s="11" t="inlineStr"/>
      <c r="F106" s="7" t="inlineStr">
        <is>
          <t>Quy định phòng chống mã độc</t>
        </is>
      </c>
      <c r="G106" s="7" t="inlineStr"/>
      <c r="H106" s="11" t="inlineStr"/>
      <c r="I106" s="11" t="inlineStr"/>
    </row>
    <row r="107">
      <c r="A107" s="7" t="inlineStr">
        <is>
          <t>5.10</t>
        </is>
      </c>
      <c r="B107" s="7" t="inlineStr">
        <is>
          <t>Phòng chống phần mềm độc hại</t>
        </is>
      </c>
      <c r="C107" s="7" t="inlineStr">
        <is>
          <t>5.10.1 b)</t>
        </is>
      </c>
      <c r="D107" s="7" t="inlineStr">
        <is>
          <t>Chống mã độc cho mọi tài sản và điểm kết nối (trong và ngoài); tự quét, chặn, cập nhật mẫu, gắn với quy trình lỗ hổng/sự cố</t>
        </is>
      </c>
      <c r="E107" s="11" t="inlineStr"/>
      <c r="F107" s="7" t="inlineStr">
        <is>
          <t>Kiến trúc giải pháp</t>
        </is>
      </c>
      <c r="G107" s="7" t="inlineStr"/>
      <c r="H107" s="11" t="inlineStr"/>
      <c r="I107" s="11" t="inlineStr"/>
    </row>
    <row r="108">
      <c r="A108" s="7" t="inlineStr">
        <is>
          <t>5.10</t>
        </is>
      </c>
      <c r="B108" s="7" t="inlineStr">
        <is>
          <t>Phòng chống phần mềm độc hại</t>
        </is>
      </c>
      <c r="C108" s="7" t="inlineStr">
        <is>
          <t>5.10.2.1 a)</t>
        </is>
      </c>
      <c r="D108" s="7" t="inlineStr">
        <is>
          <t>Cài và duy trì phần mềm chống mã độc (hoặc tương đương) trên máy chủ, máy người dùng</t>
        </is>
      </c>
      <c r="E108" s="11" t="inlineStr"/>
      <c r="F108" s="7" t="inlineStr">
        <is>
          <t>Báo cáo độ phủ agent</t>
        </is>
      </c>
      <c r="G108" s="7" t="inlineStr"/>
      <c r="H108" s="11" t="inlineStr"/>
      <c r="I108" s="11" t="inlineStr"/>
    </row>
    <row r="109">
      <c r="A109" s="7" t="inlineStr">
        <is>
          <t>5.10</t>
        </is>
      </c>
      <c r="B109" s="7" t="inlineStr">
        <is>
          <t>Phòng chống phần mềm độc hại</t>
        </is>
      </c>
      <c r="C109" s="7" t="inlineStr">
        <is>
          <t>5.10.2.1 b)</t>
        </is>
      </c>
      <c r="D109" s="7" t="inlineStr">
        <is>
          <t>Tính năng tối thiểu: bảo vệ thời gian thực, tự cập nhật mẫu nhận diện</t>
        </is>
      </c>
      <c r="E109" s="11" t="inlineStr"/>
      <c r="F109" s="7" t="inlineStr">
        <is>
          <t>Cấu hình sản phẩm</t>
        </is>
      </c>
      <c r="G109" s="7" t="inlineStr"/>
      <c r="H109" s="11" t="inlineStr"/>
      <c r="I109" s="11" t="inlineStr"/>
    </row>
    <row r="110">
      <c r="A110" s="7" t="inlineStr">
        <is>
          <t>5.10</t>
        </is>
      </c>
      <c r="B110" s="7" t="inlineStr">
        <is>
          <t>Phòng chống phần mềm độc hại</t>
        </is>
      </c>
      <c r="C110" s="7" t="inlineStr">
        <is>
          <t>5.10.2.2</t>
        </is>
      </c>
      <c r="D110" s="7" t="inlineStr">
        <is>
          <t>Quét mã độc và tắt autorun/autoplay với USB, ổ cứng, thẻ nhớ</t>
        </is>
      </c>
      <c r="E110" s="11" t="inlineStr"/>
      <c r="F110" s="7" t="inlineStr">
        <is>
          <t>GPO tắt autorun, chính sách quét</t>
        </is>
      </c>
      <c r="G110" s="7" t="inlineStr"/>
      <c r="H110" s="11" t="inlineStr"/>
      <c r="I110" s="11" t="inlineStr"/>
    </row>
    <row r="111">
      <c r="A111" s="7" t="inlineStr">
        <is>
          <t>5.10</t>
        </is>
      </c>
      <c r="B111" s="7" t="inlineStr">
        <is>
          <t>Phòng chống phần mềm độc hại</t>
        </is>
      </c>
      <c r="C111" s="7" t="inlineStr">
        <is>
          <t>5.10.2.3</t>
        </is>
      </c>
      <c r="D111" s="7" t="inlineStr">
        <is>
          <t>Bật tính năng chống khai thác lỗ hổng (exploit protection) nếu có</t>
        </is>
      </c>
      <c r="E111" s="11" t="inlineStr"/>
      <c r="F111" s="7" t="inlineStr">
        <is>
          <t>Cấu hình</t>
        </is>
      </c>
      <c r="G111" s="7" t="inlineStr">
        <is>
          <t>Mới/khác so với cấp 2</t>
        </is>
      </c>
      <c r="H111" s="11" t="inlineStr"/>
      <c r="I111" s="11" t="inlineStr"/>
    </row>
    <row r="112">
      <c r="A112" s="7" t="inlineStr">
        <is>
          <t>5.10</t>
        </is>
      </c>
      <c r="B112" s="7" t="inlineStr">
        <is>
          <t>Phòng chống phần mềm độc hại</t>
        </is>
      </c>
      <c r="C112" s="7" t="inlineStr">
        <is>
          <t>5.10.2.4 a)</t>
        </is>
      </c>
      <c r="D112" s="7" t="inlineStr">
        <is>
          <t>Triển khai EDR (hoặc tương đương) phát hiện theo hành vi trên máy chủ, máy người dùng</t>
        </is>
      </c>
      <c r="E112" s="11" t="inlineStr"/>
      <c r="F112" s="7" t="inlineStr">
        <is>
          <t>Hồ sơ EDR, độ phủ</t>
        </is>
      </c>
      <c r="G112" s="7" t="inlineStr">
        <is>
          <t>Mới/khác so với cấp 2</t>
        </is>
      </c>
      <c r="H112" s="11" t="inlineStr"/>
      <c r="I112" s="11" t="inlineStr"/>
    </row>
    <row r="113">
      <c r="A113" s="7" t="inlineStr">
        <is>
          <t>5.10</t>
        </is>
      </c>
      <c r="B113" s="7" t="inlineStr">
        <is>
          <t>Phòng chống phần mềm độc hại</t>
        </is>
      </c>
      <c r="C113" s="7" t="inlineStr">
        <is>
          <t>5.10.2.4 b)</t>
        </is>
      </c>
      <c r="D113" s="7" t="inlineStr">
        <is>
          <t>Kết nối EDR về SIEM để giám sát, cảnh báo thời gian thực</t>
        </is>
      </c>
      <c r="E113" s="11" t="inlineStr"/>
      <c r="F113" s="7" t="inlineStr">
        <is>
          <t>Cấu hình tích hợp</t>
        </is>
      </c>
      <c r="G113" s="7" t="inlineStr">
        <is>
          <t>Mới/khác so với cấp 2</t>
        </is>
      </c>
      <c r="H113" s="11" t="inlineStr"/>
      <c r="I113" s="11" t="inlineStr"/>
    </row>
    <row r="114">
      <c r="A114" s="7" t="inlineStr">
        <is>
          <t>5.11</t>
        </is>
      </c>
      <c r="B114" s="7" t="inlineStr">
        <is>
          <t>Sao lưu và khôi phục dữ liệu</t>
        </is>
      </c>
      <c r="C114" s="7" t="inlineStr">
        <is>
          <t>5.11.2.1 a)</t>
        </is>
      </c>
      <c r="D114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14" s="11" t="inlineStr"/>
      <c r="F114" s="7" t="inlineStr">
        <is>
          <t>Quy định sao lưu</t>
        </is>
      </c>
      <c r="G114" s="7" t="inlineStr"/>
      <c r="H114" s="11" t="inlineStr"/>
      <c r="I114" s="11" t="inlineStr"/>
    </row>
    <row r="115">
      <c r="A115" s="7" t="inlineStr">
        <is>
          <t>5.11</t>
        </is>
      </c>
      <c r="B115" s="7" t="inlineStr">
        <is>
          <t>Sao lưu và khôi phục dữ liệu</t>
        </is>
      </c>
      <c r="C115" s="7" t="inlineStr">
        <is>
          <t>5.11.2.1 b)</t>
        </is>
      </c>
      <c r="D115" s="7" t="inlineStr">
        <is>
          <t>Giải pháp lưu trữ/sao lưu tập trung bảo đảm sẵn sàng, khôi phục được khi một thành phần hỏng</t>
        </is>
      </c>
      <c r="E115" s="11" t="inlineStr"/>
      <c r="F115" s="7" t="inlineStr">
        <is>
          <t>Kiến trúc sao lưu</t>
        </is>
      </c>
      <c r="G115" s="7" t="inlineStr">
        <is>
          <t>Mới/khác so với cấp 2</t>
        </is>
      </c>
      <c r="H115" s="11" t="inlineStr"/>
      <c r="I115" s="11" t="inlineStr"/>
    </row>
    <row r="116">
      <c r="A116" s="7" t="inlineStr">
        <is>
          <t>5.11</t>
        </is>
      </c>
      <c r="B116" s="7" t="inlineStr">
        <is>
          <t>Sao lưu và khôi phục dữ liệu</t>
        </is>
      </c>
      <c r="C116" s="7" t="inlineStr">
        <is>
          <t>5.11.2.1 c)</t>
        </is>
      </c>
      <c r="D116" s="7" t="inlineStr">
        <is>
          <t>Rà soát quy định sao lưu ≥ 1 lần/năm hoặc khi thay đổi</t>
        </is>
      </c>
      <c r="E116" s="11" t="inlineStr"/>
      <c r="F116" s="7" t="inlineStr">
        <is>
          <t>Lịch sử phiên bản</t>
        </is>
      </c>
      <c r="G116" s="7" t="inlineStr"/>
      <c r="H116" s="11" t="inlineStr"/>
      <c r="I116" s="11" t="inlineStr"/>
    </row>
    <row r="117">
      <c r="A117" s="7" t="inlineStr">
        <is>
          <t>5.11</t>
        </is>
      </c>
      <c r="B117" s="7" t="inlineStr">
        <is>
          <t>Sao lưu và khôi phục dữ liệu</t>
        </is>
      </c>
      <c r="C117" s="7" t="inlineStr">
        <is>
          <t>5.11.2.2 a)</t>
        </is>
      </c>
      <c r="D117" s="7" t="inlineStr">
        <is>
          <t>Danh sách dữ liệu cần sao lưu và tần suất theo ngày/tuần/tháng…</t>
        </is>
      </c>
      <c r="E117" s="11" t="inlineStr"/>
      <c r="F117" s="7" t="inlineStr">
        <is>
          <t>Bảng lịch sao lưu</t>
        </is>
      </c>
      <c r="G117" s="7" t="inlineStr"/>
      <c r="H117" s="11" t="inlineStr"/>
      <c r="I117" s="11" t="inlineStr"/>
    </row>
    <row r="118">
      <c r="A118" s="7" t="inlineStr">
        <is>
          <t>5.11</t>
        </is>
      </c>
      <c r="B118" s="7" t="inlineStr">
        <is>
          <t>Sao lưu và khôi phục dữ liệu</t>
        </is>
      </c>
      <c r="C118" s="7" t="inlineStr">
        <is>
          <t>5.11.2.2 b)</t>
        </is>
      </c>
      <c r="D118" s="7" t="inlineStr">
        <is>
          <t>Sao lưu tự động (giải pháp hoặc tương đương)</t>
        </is>
      </c>
      <c r="E118" s="11" t="inlineStr"/>
      <c r="F118" s="7" t="inlineStr">
        <is>
          <t>Cấu hình job sao lưu</t>
        </is>
      </c>
      <c r="G118" s="7" t="inlineStr">
        <is>
          <t>Mới/khác so với cấp 2</t>
        </is>
      </c>
      <c r="H118" s="11" t="inlineStr"/>
      <c r="I118" s="11" t="inlineStr"/>
    </row>
    <row r="119">
      <c r="A119" s="7" t="inlineStr">
        <is>
          <t>5.11</t>
        </is>
      </c>
      <c r="B119" s="7" t="inlineStr">
        <is>
          <t>Sao lưu và khôi phục dữ liệu</t>
        </is>
      </c>
      <c r="C119" s="7" t="inlineStr">
        <is>
          <t>5.11.2.3 a)</t>
        </is>
      </c>
      <c r="D119" s="7" t="inlineStr">
        <is>
          <t>Áp dụng quy tắc 3-2-1 (hoặc tương đương) cho bản sao lưu</t>
        </is>
      </c>
      <c r="E119" s="11" t="inlineStr"/>
      <c r="F119" s="7" t="inlineStr">
        <is>
          <t>Sơ đồ 3-2-1</t>
        </is>
      </c>
      <c r="G119" s="7" t="inlineStr">
        <is>
          <t>Mới/khác so với cấp 2</t>
        </is>
      </c>
      <c r="H119" s="11" t="inlineStr"/>
      <c r="I119" s="11" t="inlineStr"/>
    </row>
    <row r="120">
      <c r="A120" s="7" t="inlineStr">
        <is>
          <t>5.11</t>
        </is>
      </c>
      <c r="B120" s="7" t="inlineStr">
        <is>
          <t>Sao lưu và khôi phục dữ liệu</t>
        </is>
      </c>
      <c r="C120" s="7" t="inlineStr">
        <is>
          <t>5.11.2.3 b)</t>
        </is>
      </c>
      <c r="D120" s="7" t="inlineStr">
        <is>
          <t>Mã hóa bản sao lưu dữ liệu quan trọng</t>
        </is>
      </c>
      <c r="E120" s="11" t="inlineStr"/>
      <c r="F120" s="7" t="inlineStr">
        <is>
          <t>Cấu hình mã hóa backup</t>
        </is>
      </c>
      <c r="G120" s="7" t="inlineStr">
        <is>
          <t>Mới/khác so với cấp 2</t>
        </is>
      </c>
      <c r="H120" s="11" t="inlineStr"/>
      <c r="I120" s="11" t="inlineStr"/>
    </row>
    <row r="121">
      <c r="A121" s="7" t="inlineStr">
        <is>
          <t>5.11</t>
        </is>
      </c>
      <c r="B121" s="7" t="inlineStr">
        <is>
          <t>Sao lưu và khôi phục dữ liệu</t>
        </is>
      </c>
      <c r="C121" s="7" t="inlineStr">
        <is>
          <t>5.11.2.4</t>
        </is>
      </c>
      <c r="D121" s="7" t="inlineStr">
        <is>
          <t>Định danh, quản lý phiên bản bản sao lưu; lưu trên hạ tầng tách biệt môi trường vận hành</t>
        </is>
      </c>
      <c r="E121" s="11" t="inlineStr"/>
      <c r="F121" s="7" t="inlineStr">
        <is>
          <t>Sơ đồ hạ tầng backup</t>
        </is>
      </c>
      <c r="G121" s="7" t="inlineStr"/>
      <c r="H121" s="11" t="inlineStr"/>
      <c r="I121" s="11" t="inlineStr"/>
    </row>
    <row r="122">
      <c r="A122" s="7" t="inlineStr">
        <is>
          <t>5.12</t>
        </is>
      </c>
      <c r="B122" s="7" t="inlineStr">
        <is>
          <t>Quản lý hạ tầng mạng</t>
        </is>
      </c>
      <c r="C122" s="7" t="inlineStr">
        <is>
          <t>5.12.2.1 a)</t>
        </is>
      </c>
      <c r="D122" s="7" t="inlineStr">
        <is>
          <t>Lập, duy trì sơ đồ kiến trúc mạng và hồ sơ mạng</t>
        </is>
      </c>
      <c r="E122" s="11" t="inlineStr"/>
      <c r="F122" s="7" t="inlineStr">
        <is>
          <t>Sơ đồ mạng; biên bản thẩm tra thiết kế (cấp 4–5)</t>
        </is>
      </c>
      <c r="G122" s="7" t="inlineStr"/>
      <c r="H122" s="11" t="inlineStr"/>
      <c r="I122" s="11" t="inlineStr"/>
    </row>
    <row r="123">
      <c r="A123" s="7" t="inlineStr">
        <is>
          <t>5.12</t>
        </is>
      </c>
      <c r="B123" s="7" t="inlineStr">
        <is>
          <t>Quản lý hạ tầng mạng</t>
        </is>
      </c>
      <c r="C123" s="7" t="inlineStr">
        <is>
          <t>5.12.2.1 b)</t>
        </is>
      </c>
      <c r="D123" s="7" t="inlineStr">
        <is>
          <t>Kiến trúc mạng an toàn theo 3 nguyên tắc: phân vùng, đặc quyền tối thiểu, sẵn sàng</t>
        </is>
      </c>
      <c r="E123" s="11" t="inlineStr"/>
      <c r="F123" s="7" t="inlineStr">
        <is>
          <t>Tài liệu kiến trúc</t>
        </is>
      </c>
      <c r="G123" s="7" t="inlineStr"/>
      <c r="H123" s="11" t="inlineStr"/>
      <c r="I123" s="11" t="inlineStr"/>
    </row>
    <row r="124">
      <c r="A124" s="7" t="inlineStr">
        <is>
          <t>5.12</t>
        </is>
      </c>
      <c r="B124" s="7" t="inlineStr">
        <is>
          <t>Quản lý hạ tầng mạng</t>
        </is>
      </c>
      <c r="C124" s="7" t="inlineStr">
        <is>
          <t>5.12.2.1 c)</t>
        </is>
      </c>
      <c r="D124" s="7" t="inlineStr">
        <is>
          <t>Hồ sơ mạng gồm: tổng quan kiến trúc, sơ đồ chi tiết, tài liệu kỹ thuật, mô tả phương án ANM</t>
        </is>
      </c>
      <c r="E124" s="11" t="inlineStr"/>
      <c r="F124" s="7" t="inlineStr">
        <is>
          <t>Bộ hồ sơ mạng</t>
        </is>
      </c>
      <c r="G124" s="7" t="inlineStr"/>
      <c r="H124" s="11" t="inlineStr"/>
      <c r="I124" s="11" t="inlineStr"/>
    </row>
    <row r="125">
      <c r="A125" s="7" t="inlineStr">
        <is>
          <t>5.12</t>
        </is>
      </c>
      <c r="B125" s="7" t="inlineStr">
        <is>
          <t>Quản lý hạ tầng mạng</t>
        </is>
      </c>
      <c r="C125" s="7" t="inlineStr">
        <is>
          <t>5.12.2.1 d)</t>
        </is>
      </c>
      <c r="D125" s="7" t="inlineStr">
        <is>
          <t>Khi đổi thiết kế, đánh giá lại sự phù hợp với yêu cầu an toàn</t>
        </is>
      </c>
      <c r="E125" s="11" t="inlineStr"/>
      <c r="F125" s="7" t="inlineStr">
        <is>
          <t>Biên bản đánh giá thay đổi</t>
        </is>
      </c>
      <c r="G125" s="7" t="inlineStr"/>
      <c r="H125" s="11" t="inlineStr"/>
      <c r="I125" s="11" t="inlineStr"/>
    </row>
    <row r="126">
      <c r="A126" s="7" t="inlineStr">
        <is>
          <t>5.12</t>
        </is>
      </c>
      <c r="B126" s="7" t="inlineStr">
        <is>
          <t>Quản lý hạ tầng mạng</t>
        </is>
      </c>
      <c r="C126" s="7" t="inlineStr">
        <is>
          <t>5.12.2.1 e)</t>
        </is>
      </c>
      <c r="D126" s="7" t="inlineStr">
        <is>
          <t>Cập nhật sơ đồ mạng 1 lần/năm hoặc khi thay đổi</t>
        </is>
      </c>
      <c r="E126" s="11" t="inlineStr"/>
      <c r="F126" s="7" t="inlineStr">
        <is>
          <t>Lịch sử phiên bản sơ đồ</t>
        </is>
      </c>
      <c r="G126" s="7" t="inlineStr"/>
      <c r="H126" s="11" t="inlineStr"/>
      <c r="I126" s="11" t="inlineStr"/>
    </row>
    <row r="127">
      <c r="A127" s="7" t="inlineStr">
        <is>
          <t>5.12</t>
        </is>
      </c>
      <c r="B127" s="7" t="inlineStr">
        <is>
          <t>Quản lý hạ tầng mạng</t>
        </is>
      </c>
      <c r="C127" s="7" t="inlineStr">
        <is>
          <t>5.12.2.2 a)</t>
        </is>
      </c>
      <c r="D127" s="7" t="inlineStr">
        <is>
          <t>Cân bằng tải và dự phòng nóng cho thiết bị mạng chính</t>
        </is>
      </c>
      <c r="E127" s="11" t="inlineStr"/>
      <c r="F127" s="7" t="inlineStr">
        <is>
          <t>Sơ đồ HA, hợp đồng kênh truyền</t>
        </is>
      </c>
      <c r="G127" s="7" t="inlineStr">
        <is>
          <t>Mới/khác so với cấp 2</t>
        </is>
      </c>
      <c r="H127" s="11" t="inlineStr"/>
      <c r="I127" s="11" t="inlineStr"/>
    </row>
    <row r="128">
      <c r="A128" s="7" t="inlineStr">
        <is>
          <t>5.12</t>
        </is>
      </c>
      <c r="B128" s="7" t="inlineStr">
        <is>
          <t>Quản lý hạ tầng mạng</t>
        </is>
      </c>
      <c r="C128" s="7" t="inlineStr">
        <is>
          <t>5.12.2.2 a)</t>
        </is>
      </c>
      <c r="D128" s="7" t="inlineStr">
        <is>
          <t>Có phương án chống thất thoát dữ liệu (DLP)</t>
        </is>
      </c>
      <c r="E128" s="11" t="inlineStr"/>
      <c r="F128" s="7" t="inlineStr">
        <is>
          <t>Hồ sơ DLP</t>
        </is>
      </c>
      <c r="G128" s="7" t="inlineStr">
        <is>
          <t>Mới/khác so với cấp 2</t>
        </is>
      </c>
      <c r="H128" s="11" t="inlineStr"/>
      <c r="I128" s="11" t="inlineStr"/>
    </row>
    <row r="129">
      <c r="A129" s="7" t="inlineStr">
        <is>
          <t>5.12</t>
        </is>
      </c>
      <c r="B129" s="7" t="inlineStr">
        <is>
          <t>Quản lý hạ tầng mạng</t>
        </is>
      </c>
      <c r="C129" s="7" t="inlineStr">
        <is>
          <t>5.12.2.2 a)</t>
        </is>
      </c>
      <c r="D129" s="7" t="inlineStr">
        <is>
          <t>Bảo đảm an toàn mạng không dây (nếu có)</t>
        </is>
      </c>
      <c r="E129" s="11" t="inlineStr"/>
      <c r="F129" s="7" t="inlineStr">
        <is>
          <t>Cấu hình WPA2/3-Enterprise, tách SSID</t>
        </is>
      </c>
      <c r="G129" s="7" t="inlineStr">
        <is>
          <t>Mới/khác so với cấp 2</t>
        </is>
      </c>
      <c r="H129" s="11" t="inlineStr"/>
      <c r="I129" s="11" t="inlineStr"/>
    </row>
    <row r="130">
      <c r="A130" s="7" t="inlineStr">
        <is>
          <t>5.12</t>
        </is>
      </c>
      <c r="B130" s="7" t="inlineStr">
        <is>
          <t>Quản lý hạ tầng mạng</t>
        </is>
      </c>
      <c r="C130" s="7" t="inlineStr">
        <is>
          <t>5.12.2.2 a)</t>
        </is>
      </c>
      <c r="D130" s="7" t="inlineStr">
        <is>
          <t>Dự phòng kết nối mạng cho máy chủ cung cấp dịch vụ</t>
        </is>
      </c>
      <c r="E130" s="11" t="inlineStr"/>
      <c r="F130" s="7" t="inlineStr">
        <is>
          <t>Sơ đồ kết nối kép</t>
        </is>
      </c>
      <c r="G130" s="7" t="inlineStr">
        <is>
          <t>Mới/khác so với cấp 2</t>
        </is>
      </c>
      <c r="H130" s="11" t="inlineStr"/>
      <c r="I130" s="11" t="inlineStr"/>
    </row>
    <row r="131">
      <c r="A131" s="7" t="inlineStr">
        <is>
          <t>5.12</t>
        </is>
      </c>
      <c r="B131" s="7" t="inlineStr">
        <is>
          <t>Quản lý hạ tầng mạng</t>
        </is>
      </c>
      <c r="C131" s="7" t="inlineStr">
        <is>
          <t>5.12.2.2 a)</t>
        </is>
      </c>
      <c r="D131" s="7" t="inlineStr">
        <is>
          <t>Tường lửa có IPS (hoặc tương đương) kiểm soát truy cập, chống xâm nhập giữa các vùng mạng</t>
        </is>
      </c>
      <c r="E131" s="11" t="inlineStr"/>
      <c r="F131" s="7" t="inlineStr">
        <is>
          <t>Cấu hình NGFW/IPS</t>
        </is>
      </c>
      <c r="G131" s="7" t="inlineStr"/>
      <c r="H131" s="11" t="inlineStr"/>
      <c r="I131" s="11" t="inlineStr"/>
    </row>
    <row r="132">
      <c r="A132" s="7" t="inlineStr">
        <is>
          <t>5.12</t>
        </is>
      </c>
      <c r="B132" s="7" t="inlineStr">
        <is>
          <t>Quản lý hạ tầng mạng</t>
        </is>
      </c>
      <c r="C132" s="7" t="inlineStr">
        <is>
          <t>5.12.2.2 a)</t>
        </is>
      </c>
      <c r="D132" s="7" t="inlineStr">
        <is>
          <t>Tường lửa có chống mã độc trên đường mạng (hoặc tương đương)</t>
        </is>
      </c>
      <c r="E132" s="11" t="inlineStr"/>
      <c r="F132" s="7" t="inlineStr">
        <is>
          <t>Cấu hình AV gateway</t>
        </is>
      </c>
      <c r="G132" s="7" t="inlineStr">
        <is>
          <t>Mới/khác so với cấp 2</t>
        </is>
      </c>
      <c r="H132" s="11" t="inlineStr"/>
      <c r="I132" s="11" t="inlineStr"/>
    </row>
    <row r="133">
      <c r="A133" s="7" t="inlineStr">
        <is>
          <t>5.12</t>
        </is>
      </c>
      <c r="B133" s="7" t="inlineStr">
        <is>
          <t>Quản lý hạ tầng mạng</t>
        </is>
      </c>
      <c r="C133" s="7" t="inlineStr">
        <is>
          <t>5.12.2.2 a)</t>
        </is>
      </c>
      <c r="D133" s="7" t="inlineStr">
        <is>
          <t>Tường lửa CSDL (DBF) hoặc tương đương cho CSDL tập trung</t>
        </is>
      </c>
      <c r="E133" s="11" t="inlineStr"/>
      <c r="F133" s="7" t="inlineStr">
        <is>
          <t>Hồ sơ DBF</t>
        </is>
      </c>
      <c r="G133" s="7" t="inlineStr">
        <is>
          <t>Mới/khác so với cấp 2</t>
        </is>
      </c>
      <c r="H133" s="11" t="inlineStr"/>
      <c r="I133" s="11" t="inlineStr"/>
    </row>
    <row r="134">
      <c r="A134" s="7" t="inlineStr">
        <is>
          <t>5.12</t>
        </is>
      </c>
      <c r="B134" s="7" t="inlineStr">
        <is>
          <t>Quản lý hạ tầng mạng</t>
        </is>
      </c>
      <c r="C134" s="7" t="inlineStr">
        <is>
          <t>5.12.2.2 a)</t>
        </is>
      </c>
      <c r="D134" s="7" t="inlineStr">
        <is>
          <t>NAC (hoặc tương đương) kiểm soát thiết bị đầu cuối kết nối vào mạng</t>
        </is>
      </c>
      <c r="E134" s="11" t="inlineStr"/>
      <c r="F134" s="7" t="inlineStr">
        <is>
          <t>Hồ sơ NAC/802.1X</t>
        </is>
      </c>
      <c r="G134" s="7" t="inlineStr">
        <is>
          <t>Mới/khác so với cấp 2</t>
        </is>
      </c>
      <c r="H134" s="11" t="inlineStr"/>
      <c r="I134" s="11" t="inlineStr"/>
    </row>
    <row r="135">
      <c r="A135" s="7" t="inlineStr">
        <is>
          <t>5.12</t>
        </is>
      </c>
      <c r="B135" s="7" t="inlineStr">
        <is>
          <t>Quản lý hạ tầng mạng</t>
        </is>
      </c>
      <c r="C135" s="7" t="inlineStr">
        <is>
          <t>5.12.2.2 a)</t>
        </is>
      </c>
      <c r="D135" s="7" t="inlineStr">
        <is>
          <t>Giám sát HTTT tập trung (tài nguyên, trạng thái)</t>
        </is>
      </c>
      <c r="E135" s="11" t="inlineStr"/>
      <c r="F135" s="7" t="inlineStr">
        <is>
          <t>Hồ sơ NMS</t>
        </is>
      </c>
      <c r="G135" s="7" t="inlineStr">
        <is>
          <t>Mới/khác so với cấp 2</t>
        </is>
      </c>
      <c r="H135" s="11" t="inlineStr"/>
      <c r="I135" s="11" t="inlineStr"/>
    </row>
    <row r="136">
      <c r="A136" s="7" t="inlineStr">
        <is>
          <t>5.12</t>
        </is>
      </c>
      <c r="B136" s="7" t="inlineStr">
        <is>
          <t>Quản lý hạ tầng mạng</t>
        </is>
      </c>
      <c r="C136" s="7" t="inlineStr">
        <is>
          <t>5.12.2.2 a)</t>
        </is>
      </c>
      <c r="D136" s="7" t="inlineStr">
        <is>
          <t>WAF (hoặc tương đương) cho ứng dụng web (nếu có)</t>
        </is>
      </c>
      <c r="E136" s="11" t="inlineStr"/>
      <c r="F136" s="7" t="inlineStr">
        <is>
          <t>Cấu hình WAF</t>
        </is>
      </c>
      <c r="G136" s="7" t="inlineStr"/>
      <c r="H136" s="11" t="inlineStr"/>
      <c r="I136" s="11" t="inlineStr"/>
    </row>
    <row r="137">
      <c r="A137" s="7" t="inlineStr">
        <is>
          <t>5.12</t>
        </is>
      </c>
      <c r="B137" s="7" t="inlineStr">
        <is>
          <t>Quản lý hạ tầng mạng</t>
        </is>
      </c>
      <c r="C137" s="7" t="inlineStr">
        <is>
          <t>5.12.2.2 a)</t>
        </is>
      </c>
      <c r="D137" s="7" t="inlineStr">
        <is>
          <t>Chống tấn công từ chối dịch vụ (dịch vụ, sản phẩm hoặc tương đương)</t>
        </is>
      </c>
      <c r="E137" s="11" t="inlineStr"/>
      <c r="F137" s="7" t="inlineStr">
        <is>
          <t>Hợp đồng/cấu hình anti-DDoS</t>
        </is>
      </c>
      <c r="G137" s="7" t="inlineStr">
        <is>
          <t>Mới/khác so với cấp 2</t>
        </is>
      </c>
      <c r="H137" s="11" t="inlineStr"/>
      <c r="I137" s="11" t="inlineStr"/>
    </row>
    <row r="138">
      <c r="A138" s="7" t="inlineStr">
        <is>
          <t>5.12</t>
        </is>
      </c>
      <c r="B138" s="7" t="inlineStr">
        <is>
          <t>Quản lý hạ tầng mạng</t>
        </is>
      </c>
      <c r="C138" s="7" t="inlineStr">
        <is>
          <t>5.12.2.2 a)</t>
        </is>
      </c>
      <c r="D138" s="7" t="inlineStr">
        <is>
          <t>Cập nhật định kỳ CSDL nhận diện tấn công cho các giải pháp ANM</t>
        </is>
      </c>
      <c r="E138" s="11" t="inlineStr"/>
      <c r="F138" s="7" t="inlineStr">
        <is>
          <t>Nhật ký cập nhật signature</t>
        </is>
      </c>
      <c r="G138" s="7" t="inlineStr"/>
      <c r="H138" s="11" t="inlineStr"/>
      <c r="I138" s="11" t="inlineStr"/>
    </row>
    <row r="139">
      <c r="A139" s="7" t="inlineStr">
        <is>
          <t>5.12</t>
        </is>
      </c>
      <c r="B139" s="7" t="inlineStr">
        <is>
          <t>Quản lý hạ tầng mạng</t>
        </is>
      </c>
      <c r="C139" s="7" t="inlineStr">
        <is>
          <t>5.12.2.2 a)</t>
        </is>
      </c>
      <c r="D139" s="7" t="inlineStr">
        <is>
          <t>Quản lý thay đổi</t>
        </is>
      </c>
      <c r="E139" s="11" t="inlineStr"/>
      <c r="F139" s="7" t="inlineStr">
        <is>
          <t>Phiếu thay đổi (change request)</t>
        </is>
      </c>
      <c r="G139" s="7" t="inlineStr"/>
      <c r="H139" s="11" t="inlineStr"/>
      <c r="I139" s="11" t="inlineStr"/>
    </row>
    <row r="140">
      <c r="A140" s="7" t="inlineStr">
        <is>
          <t>5.12</t>
        </is>
      </c>
      <c r="B140" s="7" t="inlineStr">
        <is>
          <t>Quản lý hạ tầng mạng</t>
        </is>
      </c>
      <c r="C140" s="7" t="inlineStr">
        <is>
          <t>5.12.2.2 a)</t>
        </is>
      </c>
      <c r="D140" s="7" t="inlineStr">
        <is>
          <t>Theo dõi hiệu năng (CPU, RAM…) để bảo đảm hoạt động bình thường</t>
        </is>
      </c>
      <c r="E140" s="11" t="inlineStr"/>
      <c r="F140" s="7" t="inlineStr">
        <is>
          <t>Dashboard giám sát</t>
        </is>
      </c>
      <c r="G140" s="7" t="inlineStr"/>
      <c r="H140" s="11" t="inlineStr"/>
      <c r="I140" s="11" t="inlineStr"/>
    </row>
    <row r="141">
      <c r="A141" s="7" t="inlineStr">
        <is>
          <t>5.12</t>
        </is>
      </c>
      <c r="B141" s="7" t="inlineStr">
        <is>
          <t>Quản lý hạ tầng mạng</t>
        </is>
      </c>
      <c r="C141" s="7" t="inlineStr">
        <is>
          <t>5.12.2.2 b)</t>
        </is>
      </c>
      <c r="D141" s="7" t="inlineStr">
        <is>
          <t>Phân vùng tối thiểu: nội bộ, biên, máy chủ nội bộ, DMZ, máy chủ CSDL, không dây (nếu có), quản trị</t>
        </is>
      </c>
      <c r="E141" s="11" t="inlineStr"/>
      <c r="F141" s="7" t="inlineStr">
        <is>
          <t>Sơ đồ phân vùng, ACL giữa vùng</t>
        </is>
      </c>
      <c r="G141" s="7" t="inlineStr">
        <is>
          <t>Mới/khác so với cấp 2</t>
        </is>
      </c>
      <c r="H141" s="11" t="inlineStr"/>
      <c r="I141" s="11" t="inlineStr"/>
    </row>
    <row r="142">
      <c r="A142" s="7" t="inlineStr">
        <is>
          <t>5.12</t>
        </is>
      </c>
      <c r="B142" s="7" t="inlineStr">
        <is>
          <t>Quản lý hạ tầng mạng</t>
        </is>
      </c>
      <c r="C142" s="7" t="inlineStr">
        <is>
          <t>5.12.2.3 a)</t>
        </is>
      </c>
      <c r="D142" s="7" t="inlineStr">
        <is>
          <t>Lập kế hoạch và quy trình kiểm thử, nghiệm thu (nêu rõ nội dung cần thử)</t>
        </is>
      </c>
      <c r="E142" s="11" t="inlineStr"/>
      <c r="F142" s="7" t="inlineStr">
        <is>
          <t>Kế hoạch thử nghiệm</t>
        </is>
      </c>
      <c r="G142" s="7" t="inlineStr"/>
      <c r="H142" s="11" t="inlineStr"/>
      <c r="I142" s="11" t="inlineStr"/>
    </row>
    <row r="143">
      <c r="A143" s="7" t="inlineStr">
        <is>
          <t>5.12</t>
        </is>
      </c>
      <c r="B143" s="7" t="inlineStr">
        <is>
          <t>Quản lý hạ tầng mạng</t>
        </is>
      </c>
      <c r="C143" s="7" t="inlineStr">
        <is>
          <t>5.12.2.3 b)</t>
        </is>
      </c>
      <c r="D143" s="7" t="inlineStr">
        <is>
          <t>Kiểm thử hệ thống trước khi đưa vào vận hành</t>
        </is>
      </c>
      <c r="E143" s="11" t="inlineStr"/>
      <c r="F143" s="7" t="inlineStr">
        <is>
          <t>Báo cáo kiểm thử</t>
        </is>
      </c>
      <c r="G143" s="7" t="inlineStr"/>
      <c r="H143" s="11" t="inlineStr"/>
      <c r="I143" s="11" t="inlineStr"/>
    </row>
    <row r="144">
      <c r="A144" s="7" t="inlineStr">
        <is>
          <t>5.12</t>
        </is>
      </c>
      <c r="B144" s="7" t="inlineStr">
        <is>
          <t>Quản lý hạ tầng mạng</t>
        </is>
      </c>
      <c r="C144" s="7" t="inlineStr">
        <is>
          <t>5.12.2.3 c)</t>
        </is>
      </c>
      <c r="D144" s="7" t="inlineStr">
        <is>
          <t>Có bộ phận phụ trách thử nghiệm, nghiệm thu</t>
        </is>
      </c>
      <c r="E144" s="11" t="inlineStr"/>
      <c r="F144" s="7" t="inlineStr">
        <is>
          <t>Quyết định phân công</t>
        </is>
      </c>
      <c r="G144" s="7" t="inlineStr">
        <is>
          <t>Mới/khác so với cấp 2</t>
        </is>
      </c>
      <c r="H144" s="11" t="inlineStr"/>
      <c r="I144" s="11" t="inlineStr"/>
    </row>
    <row r="145">
      <c r="A145" s="7" t="inlineStr">
        <is>
          <t>5.12</t>
        </is>
      </c>
      <c r="B145" s="7" t="inlineStr">
        <is>
          <t>Quản lý hạ tầng mạng</t>
        </is>
      </c>
      <c r="C145" s="7" t="inlineStr">
        <is>
          <t>5.12.2.3 d)</t>
        </is>
      </c>
      <c r="D145" s="7" t="inlineStr">
        <is>
          <t>Đơn vị/bộ phận độc lập tư vấn, giám sát quá trình thử nghiệm, nghiệm thu</t>
        </is>
      </c>
      <c r="E145" s="11" t="inlineStr"/>
      <c r="F145" s="7" t="inlineStr">
        <is>
          <t>Hợp đồng/quyết định giám sát độc lập</t>
        </is>
      </c>
      <c r="G145" s="7" t="inlineStr">
        <is>
          <t>Mới/khác so với cấp 2</t>
        </is>
      </c>
      <c r="H145" s="11" t="inlineStr"/>
      <c r="I145" s="11" t="inlineStr"/>
    </row>
    <row r="146">
      <c r="A146" s="7" t="inlineStr">
        <is>
          <t>5.12</t>
        </is>
      </c>
      <c r="B146" s="7" t="inlineStr">
        <is>
          <t>Quản lý hạ tầng mạng</t>
        </is>
      </c>
      <c r="C146" s="7" t="inlineStr">
        <is>
          <t>5.12.2.3 e)</t>
        </is>
      </c>
      <c r="D146" s="7" t="inlineStr">
        <is>
          <t>Biên bản nghiệm thu được bộ phận chuyên trách xác nhận, chủ quản phê duyệt rồi mới đưa vào dùng</t>
        </is>
      </c>
      <c r="E146" s="11" t="inlineStr"/>
      <c r="F146" s="7" t="inlineStr">
        <is>
          <t>Báo cáo nghiệm thu đã phê duyệt</t>
        </is>
      </c>
      <c r="G146" s="7" t="inlineStr">
        <is>
          <t>Mới/khác so với cấp 2</t>
        </is>
      </c>
      <c r="H146" s="11" t="inlineStr"/>
      <c r="I146" s="11" t="inlineStr"/>
    </row>
    <row r="147">
      <c r="A147" s="7" t="inlineStr">
        <is>
          <t>5.12</t>
        </is>
      </c>
      <c r="B147" s="7" t="inlineStr">
        <is>
          <t>Quản lý hạ tầng mạng</t>
        </is>
      </c>
      <c r="C147" s="7" t="inlineStr">
        <is>
          <t>5.12.2.4 a)</t>
        </is>
      </c>
      <c r="D147" s="7" t="inlineStr">
        <is>
          <t>Chỉ cho phép kết nối an toàn khi truy cập nội bộ hoặc quản trị từ xa</t>
        </is>
      </c>
      <c r="E147" s="11" t="inlineStr"/>
      <c r="F147" s="7" t="inlineStr">
        <is>
          <t>Cấu hình SSH/TLS, tắt Telnet/HTTP</t>
        </is>
      </c>
      <c r="G147" s="7" t="inlineStr">
        <is>
          <t>Mới/khác so với cấp 2</t>
        </is>
      </c>
      <c r="H147" s="11" t="inlineStr"/>
      <c r="I147" s="11" t="inlineStr"/>
    </row>
    <row r="148">
      <c r="A148" s="7" t="inlineStr">
        <is>
          <t>5.12</t>
        </is>
      </c>
      <c r="B148" s="7" t="inlineStr">
        <is>
          <t>Quản lý hạ tầng mạng</t>
        </is>
      </c>
      <c r="C148" s="7" t="inlineStr">
        <is>
          <t>5.12.2.4 b)</t>
        </is>
      </c>
      <c r="D148" s="7" t="inlineStr">
        <is>
          <t>Thiết bị phải yêu cầu đăng nhập khi quản trị tại chỗ cũng như từ xa</t>
        </is>
      </c>
      <c r="E148" s="11" t="inlineStr"/>
      <c r="F148" s="7" t="inlineStr">
        <is>
          <t>Cấu hình xác thực thiết bị</t>
        </is>
      </c>
      <c r="G148" s="7" t="inlineStr">
        <is>
          <t>Mới/khác so với cấp 2</t>
        </is>
      </c>
      <c r="H148" s="11" t="inlineStr"/>
      <c r="I148" s="11" t="inlineStr"/>
    </row>
    <row r="149">
      <c r="A149" s="7" t="inlineStr">
        <is>
          <t>5.12</t>
        </is>
      </c>
      <c r="B149" s="7" t="inlineStr">
        <is>
          <t>Quản lý hạ tầng mạng</t>
        </is>
      </c>
      <c r="C149" s="7" t="inlineStr">
        <is>
          <t>5.12.2.4 c)</t>
        </is>
      </c>
      <c r="D149" s="7" t="inlineStr">
        <is>
          <t>Đặt timeout tự đóng phiên kết nối không hoạt động</t>
        </is>
      </c>
      <c r="E149" s="11" t="inlineStr"/>
      <c r="F149" s="7" t="inlineStr">
        <is>
          <t>Cấu hình timeout</t>
        </is>
      </c>
      <c r="G149" s="7" t="inlineStr"/>
      <c r="H149" s="11" t="inlineStr"/>
      <c r="I149" s="11" t="inlineStr"/>
    </row>
    <row r="150">
      <c r="A150" s="7" t="inlineStr">
        <is>
          <t>5.12</t>
        </is>
      </c>
      <c r="B150" s="7" t="inlineStr">
        <is>
          <t>Quản lý hạ tầng mạng</t>
        </is>
      </c>
      <c r="C150" s="7" t="inlineStr">
        <is>
          <t>5.12.2.4 d)</t>
        </is>
      </c>
      <c r="D150" s="7" t="inlineStr">
        <is>
          <t>Kiểm soát truy cập cả chiều vào và chiều ra theo từng dịch vụ; chặn mọi truy cập không được phép</t>
        </is>
      </c>
      <c r="E150" s="11" t="inlineStr"/>
      <c r="F150" s="7" t="inlineStr">
        <is>
          <t>Rule firewall</t>
        </is>
      </c>
      <c r="G150" s="7" t="inlineStr">
        <is>
          <t>Mới/khác so với cấp 2</t>
        </is>
      </c>
      <c r="H150" s="11" t="inlineStr"/>
      <c r="I150" s="11" t="inlineStr"/>
    </row>
    <row r="151">
      <c r="A151" s="7" t="inlineStr">
        <is>
          <t>5.12</t>
        </is>
      </c>
      <c r="B151" s="7" t="inlineStr">
        <is>
          <t>Quản lý hạ tầng mạng</t>
        </is>
      </c>
      <c r="C151" s="7" t="inlineStr">
        <is>
          <t>5.12.2.4 e)</t>
        </is>
      </c>
      <c r="D151" s="7" t="inlineStr">
        <is>
          <t>Giới hạn số kết nối đồng thời theo nguồn và theo dịch vụ (linh hoạt nếu có biện pháp tương đương)</t>
        </is>
      </c>
      <c r="E151" s="11" t="inlineStr"/>
      <c r="F151" s="7" t="inlineStr">
        <is>
          <t>Cấu hình rate/conn limit</t>
        </is>
      </c>
      <c r="G151" s="7" t="inlineStr">
        <is>
          <t>Mới/khác so với cấp 2</t>
        </is>
      </c>
      <c r="H151" s="11" t="inlineStr"/>
      <c r="I151" s="11" t="inlineStr"/>
    </row>
    <row r="152">
      <c r="A152" s="7" t="inlineStr">
        <is>
          <t>5.12</t>
        </is>
      </c>
      <c r="B152" s="7" t="inlineStr">
        <is>
          <t>Quản lý hạ tầng mạng</t>
        </is>
      </c>
      <c r="C152" s="7" t="inlineStr">
        <is>
          <t>5.12.2.4 f)</t>
        </is>
      </c>
      <c r="D152" s="7" t="inlineStr">
        <is>
          <t>Kiểm soát truy cập của người dùng vào dịch vụ, máy chủ nội bộ theo chính sách</t>
        </is>
      </c>
      <c r="E152" s="11" t="inlineStr"/>
      <c r="F152" s="7" t="inlineStr">
        <is>
          <t>Chính sách truy cập</t>
        </is>
      </c>
      <c r="G152" s="7" t="inlineStr">
        <is>
          <t>Mới/khác so với cấp 2</t>
        </is>
      </c>
      <c r="H152" s="11" t="inlineStr"/>
      <c r="I152" s="11" t="inlineStr"/>
    </row>
    <row r="153">
      <c r="A153" s="7" t="inlineStr">
        <is>
          <t>5.12</t>
        </is>
      </c>
      <c r="B153" s="7" t="inlineStr">
        <is>
          <t>Quản lý hạ tầng mạng</t>
        </is>
      </c>
      <c r="C153" s="7" t="inlineStr">
        <is>
          <t>5.12.2.5</t>
        </is>
      </c>
      <c r="D153" s="7" t="inlineStr">
        <is>
          <t>Truy cập từ xa của quản trị viên, người dùng tác nghiệp qua VPN (hoặc tương đương) có xác thực</t>
        </is>
      </c>
      <c r="E153" s="11" t="inlineStr"/>
      <c r="F153" s="7" t="inlineStr">
        <is>
          <t>Cấu hình VPN/ZTNA</t>
        </is>
      </c>
      <c r="G153" s="7" t="inlineStr"/>
      <c r="H153" s="11" t="inlineStr"/>
      <c r="I153" s="11" t="inlineStr"/>
    </row>
    <row r="154">
      <c r="A154" s="7" t="inlineStr">
        <is>
          <t>5.12</t>
        </is>
      </c>
      <c r="B154" s="7" t="inlineStr">
        <is>
          <t>Quản lý hạ tầng mạng</t>
        </is>
      </c>
      <c r="C154" s="7" t="inlineStr">
        <is>
          <t>5.12.2.5</t>
        </is>
      </c>
      <c r="D154" s="7" t="inlineStr">
        <is>
          <t>Xác thực khi kết nối từ xa và xác thực bổ sung trước khi vào hệ thống</t>
        </is>
      </c>
      <c r="E154" s="11" t="inlineStr"/>
      <c r="F154" s="7" t="inlineStr">
        <is>
          <t>Cấu hình MFA VPN</t>
        </is>
      </c>
      <c r="G154" s="7" t="inlineStr"/>
      <c r="H154" s="11" t="inlineStr"/>
      <c r="I154" s="11" t="inlineStr"/>
    </row>
    <row r="155">
      <c r="A155" s="7" t="inlineStr">
        <is>
          <t>5.12</t>
        </is>
      </c>
      <c r="B155" s="7" t="inlineStr">
        <is>
          <t>Quản lý hạ tầng mạng</t>
        </is>
      </c>
      <c r="C155" s="7" t="inlineStr">
        <is>
          <t>5.12.2.5</t>
        </is>
      </c>
      <c r="D155" s="7" t="inlineStr">
        <is>
          <t>Giới hạn dải địa chỉ/thiết bị được phép quản trị từ xa (nếu hỗ trợ)</t>
        </is>
      </c>
      <c r="E155" s="11" t="inlineStr"/>
      <c r="F155" s="7" t="inlineStr">
        <is>
          <t>ACL quản trị</t>
        </is>
      </c>
      <c r="G155" s="7" t="inlineStr">
        <is>
          <t>Mới/khác so với cấp 2</t>
        </is>
      </c>
      <c r="H155" s="11" t="inlineStr"/>
      <c r="I155" s="11" t="inlineStr"/>
    </row>
    <row r="156">
      <c r="A156" s="7" t="inlineStr">
        <is>
          <t>5.13</t>
        </is>
      </c>
      <c r="B156" s="7" t="inlineStr">
        <is>
          <t>Giám sát và phòng thủ an ninh mạng</t>
        </is>
      </c>
      <c r="C156" s="7" t="inlineStr">
        <is>
          <t>5.13.2.1 a)</t>
        </is>
      </c>
      <c r="D156" s="7" t="inlineStr">
        <is>
          <t>Giám sát ANM tối thiểu với thiết bị hệ thống, máy chủ, ứng dụng, dịch vụ</t>
        </is>
      </c>
      <c r="E156" s="11" t="inlineStr"/>
      <c r="F156" s="7" t="inlineStr">
        <is>
          <t>Danh sách đối tượng giám sát</t>
        </is>
      </c>
      <c r="G156" s="7" t="inlineStr">
        <is>
          <t>Mới/khác so với cấp 2</t>
        </is>
      </c>
      <c r="H156" s="11" t="inlineStr"/>
      <c r="I156" s="11" t="inlineStr"/>
    </row>
    <row r="157">
      <c r="A157" s="7" t="inlineStr">
        <is>
          <t>5.13</t>
        </is>
      </c>
      <c r="B157" s="7" t="inlineStr">
        <is>
          <t>Giám sát và phòng thủ an ninh mạng</t>
        </is>
      </c>
      <c r="C157" s="7" t="inlineStr">
        <is>
          <t>5.13.2.1 b)</t>
        </is>
      </c>
      <c r="D157" s="7" t="inlineStr">
        <is>
          <t>SIEM tương quan sự kiện, phân tích theo hướng dẫn của cơ quan có thẩm quyền</t>
        </is>
      </c>
      <c r="E157" s="11" t="inlineStr"/>
      <c r="F157" s="7" t="inlineStr">
        <is>
          <t>Use case/rule SIEM</t>
        </is>
      </c>
      <c r="G157" s="7" t="inlineStr">
        <is>
          <t>Mới/khác so với cấp 2</t>
        </is>
      </c>
      <c r="H157" s="11" t="inlineStr"/>
      <c r="I157" s="11" t="inlineStr"/>
    </row>
    <row r="158">
      <c r="A158" s="7" t="inlineStr">
        <is>
          <t>5.13</t>
        </is>
      </c>
      <c r="B158" s="7" t="inlineStr">
        <is>
          <t>Giám sát và phòng thủ an ninh mạng</t>
        </is>
      </c>
      <c r="C158" s="7" t="inlineStr">
        <is>
          <t>5.13.2.2</t>
        </is>
      </c>
      <c r="D158" s="7" t="inlineStr">
        <is>
          <t>Bật tường lửa, phát hiện/ngăn chặn xâm nhập của HĐH và hệ thống (nếu có)</t>
        </is>
      </c>
      <c r="E158" s="11" t="inlineStr"/>
      <c r="F158" s="7" t="inlineStr">
        <is>
          <t>Cấu hình host firewall/HIPS</t>
        </is>
      </c>
      <c r="G158" s="7" t="inlineStr">
        <is>
          <t>Mới/khác so với cấp 2</t>
        </is>
      </c>
      <c r="H158" s="11" t="inlineStr"/>
      <c r="I158" s="11" t="inlineStr"/>
    </row>
    <row r="159">
      <c r="A159" s="7" t="inlineStr">
        <is>
          <t>5.13</t>
        </is>
      </c>
      <c r="B159" s="7" t="inlineStr">
        <is>
          <t>Giám sát và phòng thủ an ninh mạng</t>
        </is>
      </c>
      <c r="C159" s="7" t="inlineStr">
        <is>
          <t>5.13.2.3 a)</t>
        </is>
      </c>
      <c r="D159" s="7" t="inlineStr">
        <is>
          <t>Kiểm soát truy cập cổng kết nối trên thiết bị mạng (nếu hỗ trợ)</t>
        </is>
      </c>
      <c r="E159" s="11" t="inlineStr"/>
      <c r="F159" s="7" t="inlineStr">
        <is>
          <t>Cấu hình port security</t>
        </is>
      </c>
      <c r="G159" s="7" t="inlineStr">
        <is>
          <t>Mới/khác so với cấp 2</t>
        </is>
      </c>
      <c r="H159" s="11" t="inlineStr"/>
      <c r="I159" s="11" t="inlineStr"/>
    </row>
    <row r="160">
      <c r="A160" s="7" t="inlineStr">
        <is>
          <t>5.13</t>
        </is>
      </c>
      <c r="B160" s="7" t="inlineStr">
        <is>
          <t>Giám sát và phòng thủ an ninh mạng</t>
        </is>
      </c>
      <c r="C160" s="7" t="inlineStr">
        <is>
          <t>5.13.2.3 b)</t>
        </is>
      </c>
      <c r="D160" s="7" t="inlineStr">
        <is>
          <t>Tách cổng quản trị ứng dụng khỏi cổng cung cấp dịch vụ</t>
        </is>
      </c>
      <c r="E160" s="11" t="inlineStr"/>
      <c r="F160" s="7" t="inlineStr">
        <is>
          <t>Cấu hình cổng</t>
        </is>
      </c>
      <c r="G160" s="7" t="inlineStr">
        <is>
          <t>Mới/khác so với cấp 2</t>
        </is>
      </c>
      <c r="H160" s="11" t="inlineStr"/>
      <c r="I160" s="11" t="inlineStr"/>
    </row>
    <row r="161">
      <c r="A161" s="7" t="inlineStr">
        <is>
          <t>5.13</t>
        </is>
      </c>
      <c r="B161" s="7" t="inlineStr">
        <is>
          <t>Giám sát và phòng thủ an ninh mạng</t>
        </is>
      </c>
      <c r="C161" s="7" t="inlineStr">
        <is>
          <t>5.13.2.4</t>
        </is>
      </c>
      <c r="D161" s="7" t="inlineStr">
        <is>
          <t>Thu thập flow/lưu lượng mạng để rà soát, cảnh báo</t>
        </is>
      </c>
      <c r="E161" s="11" t="inlineStr"/>
      <c r="F161" s="7" t="inlineStr">
        <is>
          <t>Cấu hình NetFlow/NDR</t>
        </is>
      </c>
      <c r="G161" s="7" t="inlineStr">
        <is>
          <t>Mới/khác so với cấp 2</t>
        </is>
      </c>
      <c r="H161" s="11" t="inlineStr"/>
      <c r="I161" s="11" t="inlineStr"/>
    </row>
    <row r="162">
      <c r="A162" s="7" t="inlineStr">
        <is>
          <t>5.13</t>
        </is>
      </c>
      <c r="B162" s="7" t="inlineStr">
        <is>
          <t>Giám sát và phòng thủ an ninh mạng</t>
        </is>
      </c>
      <c r="C162" s="7" t="inlineStr">
        <is>
          <t>5.13.2.5</t>
        </is>
      </c>
      <c r="D162" s="7" t="inlineStr">
        <is>
          <t>Tinh chỉnh ngưỡng cảnh báo ≥ 1 lần/6 tháng</t>
        </is>
      </c>
      <c r="E162" s="11" t="inlineStr"/>
      <c r="F162" s="7" t="inlineStr">
        <is>
          <t>Nhật ký tinh chỉnh rule</t>
        </is>
      </c>
      <c r="G162" s="7" t="inlineStr">
        <is>
          <t>Mới/khác so với cấp 2</t>
        </is>
      </c>
      <c r="H162" s="11" t="inlineStr"/>
      <c r="I162" s="11" t="inlineStr"/>
    </row>
    <row r="163">
      <c r="A163" s="7" t="inlineStr">
        <is>
          <t>5.14</t>
        </is>
      </c>
      <c r="B163" s="7" t="inlineStr">
        <is>
          <t>Nhân sự vận hành, quản trị, bảo vệ an ninh mạng</t>
        </is>
      </c>
      <c r="C163" s="7" t="inlineStr">
        <is>
          <t>5.14.2.1 a)</t>
        </is>
      </c>
      <c r="D163" s="7" t="inlineStr">
        <is>
          <t>Thành lập bộ phận riêng cho vận hành, quản trị hệ thống và bảo vệ ANM</t>
        </is>
      </c>
      <c r="E163" s="11" t="inlineStr"/>
      <c r="F163" s="7" t="inlineStr">
        <is>
          <t>Quyết định thành lập, sơ đồ tổ chức</t>
        </is>
      </c>
      <c r="G163" s="7" t="inlineStr">
        <is>
          <t>Mới/khác so với cấp 2</t>
        </is>
      </c>
      <c r="H163" s="11" t="inlineStr"/>
      <c r="I163" s="11" t="inlineStr"/>
    </row>
    <row r="164">
      <c r="A164" s="7" t="inlineStr">
        <is>
          <t>5.14</t>
        </is>
      </c>
      <c r="B164" s="7" t="inlineStr">
        <is>
          <t>Nhân sự vận hành, quản trị, bảo vệ an ninh mạng</t>
        </is>
      </c>
      <c r="C164" s="7" t="inlineStr">
        <is>
          <t>5.14.2.1 b)</t>
        </is>
      </c>
      <c r="D164" s="7" t="inlineStr">
        <is>
          <t>Các bộ phận vận hành, quản trị, bảo vệ ANM độc lập về chuyên môn</t>
        </is>
      </c>
      <c r="E164" s="11" t="inlineStr"/>
      <c r="F164" s="7" t="inlineStr">
        <is>
          <t>Quy chế phân định nhiệm vụ</t>
        </is>
      </c>
      <c r="G164" s="7" t="inlineStr"/>
      <c r="H164" s="11" t="inlineStr"/>
      <c r="I164" s="11" t="inlineStr"/>
    </row>
    <row r="165">
      <c r="A165" s="7" t="inlineStr">
        <is>
          <t>5.14</t>
        </is>
      </c>
      <c r="B165" s="7" t="inlineStr">
        <is>
          <t>Nhân sự vận hành, quản trị, bảo vệ an ninh mạng</t>
        </is>
      </c>
      <c r="C165" s="7" t="inlineStr">
        <is>
          <t>5.14.2.1 c)</t>
        </is>
      </c>
      <c r="D165" s="7" t="inlineStr">
        <is>
          <t>Nhân sự có trình độ ANM/CNTT; ký cam kết bảo mật trong và sau khi nghỉ việc</t>
        </is>
      </c>
      <c r="E165" s="11" t="inlineStr"/>
      <c r="F165" s="7" t="inlineStr">
        <is>
          <t>Hồ sơ năng lực, cam kết bảo mật</t>
        </is>
      </c>
      <c r="G165" s="7" t="inlineStr"/>
      <c r="H165" s="11" t="inlineStr"/>
      <c r="I165" s="11" t="inlineStr"/>
    </row>
    <row r="166">
      <c r="A166" s="7" t="inlineStr">
        <is>
          <t>5.14</t>
        </is>
      </c>
      <c r="B166" s="7" t="inlineStr">
        <is>
          <t>Nhân sự vận hành, quản trị, bảo vệ an ninh mạng</t>
        </is>
      </c>
      <c r="C166" s="7" t="inlineStr">
        <is>
          <t>5.14.2.2 a)</t>
        </is>
      </c>
      <c r="D166" s="7" t="inlineStr">
        <is>
          <t>Chương trình nâng cao nhận thức ANM cho mọi người dùng HTTT</t>
        </is>
      </c>
      <c r="E166" s="11" t="inlineStr"/>
      <c r="F166" s="7" t="inlineStr">
        <is>
          <t>Tài liệu, danh sách tham dự</t>
        </is>
      </c>
      <c r="G166" s="7" t="inlineStr"/>
      <c r="H166" s="11" t="inlineStr"/>
      <c r="I166" s="11" t="inlineStr"/>
    </row>
    <row r="167">
      <c r="A167" s="7" t="inlineStr">
        <is>
          <t>5.14</t>
        </is>
      </c>
      <c r="B167" s="7" t="inlineStr">
        <is>
          <t>Nhân sự vận hành, quản trị, bảo vệ an ninh mạng</t>
        </is>
      </c>
      <c r="C167" s="7" t="inlineStr">
        <is>
          <t>5.14.2.2 b)</t>
        </is>
      </c>
      <c r="D167" s="7" t="inlineStr">
        <is>
          <t>Thu hồi thẻ, dữ liệu, thiết bị, tài sản khi nghỉ hoặc chuyển việc</t>
        </is>
      </c>
      <c r="E167" s="11" t="inlineStr"/>
      <c r="F167" s="7" t="inlineStr">
        <is>
          <t>Biên bản bàn giao</t>
        </is>
      </c>
      <c r="G167" s="7" t="inlineStr"/>
      <c r="H167" s="11" t="inlineStr"/>
      <c r="I167" s="11" t="inlineStr"/>
    </row>
    <row r="168">
      <c r="A168" s="7" t="inlineStr">
        <is>
          <t>5.14</t>
        </is>
      </c>
      <c r="B168" s="7" t="inlineStr">
        <is>
          <t>Nhân sự vận hành, quản trị, bảo vệ an ninh mạng</t>
        </is>
      </c>
      <c r="C168" s="7" t="inlineStr">
        <is>
          <t>5.14.2.2 c)</t>
        </is>
      </c>
      <c r="D168" s="7" t="inlineStr">
        <is>
          <t>Quy trình vô hiệu hóa mọi quyền ra vào, truy cập, quản trị khi thôi việc</t>
        </is>
      </c>
      <c r="E168" s="11" t="inlineStr"/>
      <c r="F168" s="7" t="inlineStr">
        <is>
          <t>Quy trình offboarding, log vô hiệu</t>
        </is>
      </c>
      <c r="G168" s="7" t="inlineStr"/>
      <c r="H168" s="11" t="inlineStr"/>
      <c r="I168" s="11" t="inlineStr"/>
    </row>
    <row r="169">
      <c r="A169" s="7" t="inlineStr">
        <is>
          <t>5.14</t>
        </is>
      </c>
      <c r="B169" s="7" t="inlineStr">
        <is>
          <t>Nhân sự vận hành, quản trị, bảo vệ an ninh mạng</t>
        </is>
      </c>
      <c r="C169" s="7" t="inlineStr">
        <is>
          <t>5.14.2.2 d)</t>
        </is>
      </c>
      <c r="D169" s="7" t="inlineStr">
        <is>
          <t>Đào tạo nhận thức ≥ 1 lần/năm</t>
        </is>
      </c>
      <c r="E169" s="11" t="inlineStr"/>
      <c r="F169" s="7" t="inlineStr">
        <is>
          <t>Danh sách, bài kiểm tra</t>
        </is>
      </c>
      <c r="G169" s="7" t="inlineStr"/>
      <c r="H169" s="11" t="inlineStr"/>
      <c r="I169" s="11" t="inlineStr"/>
    </row>
    <row r="170">
      <c r="A170" s="7" t="inlineStr">
        <is>
          <t>5.15</t>
        </is>
      </c>
      <c r="B170" s="7" t="inlineStr">
        <is>
          <t>Quản lý nhà cung cấp sản phẩm, dịch vụ</t>
        </is>
      </c>
      <c r="C170" s="7" t="inlineStr">
        <is>
          <t>5.15.1</t>
        </is>
      </c>
      <c r="D170" s="7" t="inlineStr">
        <is>
          <t>Quy trình đánh giá nhà cung cấp dịch vụ ANM, lưu trữ/xử lý dữ liệu nhạy cảm, nền tảng quan trọng</t>
        </is>
      </c>
      <c r="E170" s="11" t="inlineStr"/>
      <c r="F170" s="7" t="inlineStr">
        <is>
          <t>Quy trình đánh giá NCC</t>
        </is>
      </c>
      <c r="G170" s="7" t="inlineStr"/>
      <c r="H170" s="11" t="inlineStr"/>
      <c r="I170" s="11" t="inlineStr"/>
    </row>
    <row r="171">
      <c r="A171" s="7" t="inlineStr">
        <is>
          <t>5.15</t>
        </is>
      </c>
      <c r="B171" s="7" t="inlineStr">
        <is>
          <t>Quản lý nhà cung cấp sản phẩm, dịch vụ</t>
        </is>
      </c>
      <c r="C171" s="7" t="inlineStr">
        <is>
          <t>5.15.2</t>
        </is>
      </c>
      <c r="D171" s="7" t="inlineStr">
        <is>
          <t>Danh sách nhà cung cấp, theo dõi trạng thái</t>
        </is>
      </c>
      <c r="E171" s="11" t="inlineStr"/>
      <c r="F171" s="7" t="inlineStr">
        <is>
          <t>Danh sách NCC</t>
        </is>
      </c>
      <c r="G171" s="7" t="inlineStr"/>
      <c r="H171" s="11" t="inlineStr"/>
      <c r="I171" s="11" t="inlineStr"/>
    </row>
    <row r="172">
      <c r="A172" s="7" t="inlineStr">
        <is>
          <t>5.15</t>
        </is>
      </c>
      <c r="B172" s="7" t="inlineStr">
        <is>
          <t>Quản lý nhà cung cấp sản phẩm, dịch vụ</t>
        </is>
      </c>
      <c r="C172" s="7" t="inlineStr">
        <is>
          <t>5.15.2</t>
        </is>
      </c>
      <c r="D172" s="7" t="inlineStr">
        <is>
          <t>Phân loại nhà cung cấp</t>
        </is>
      </c>
      <c r="E172" s="11" t="inlineStr"/>
      <c r="F172" s="7" t="inlineStr">
        <is>
          <t>Tiêu chí phân loại</t>
        </is>
      </c>
      <c r="G172" s="7" t="inlineStr"/>
      <c r="H172" s="11" t="inlineStr"/>
      <c r="I172" s="11" t="inlineStr"/>
    </row>
    <row r="173">
      <c r="A173" s="7" t="inlineStr">
        <is>
          <t>5.15</t>
        </is>
      </c>
      <c r="B173" s="7" t="inlineStr">
        <is>
          <t>Quản lý nhà cung cấp sản phẩm, dịch vụ</t>
        </is>
      </c>
      <c r="C173" s="7" t="inlineStr">
        <is>
          <t>5.15.2</t>
        </is>
      </c>
      <c r="D173" s="7" t="inlineStr">
        <is>
          <t>Văn bản phân định phạm vi trách nhiệm giữa nhà cung cấp và tổ chức</t>
        </is>
      </c>
      <c r="E173" s="11" t="inlineStr"/>
      <c r="F173" s="7" t="inlineStr">
        <is>
          <t>Hợp đồng/SLA/ma trận RACI</t>
        </is>
      </c>
      <c r="G173" s="7" t="inlineStr"/>
      <c r="H173" s="11" t="inlineStr"/>
      <c r="I173" s="11" t="inlineStr"/>
    </row>
    <row r="174">
      <c r="A174" s="7" t="inlineStr">
        <is>
          <t>5.15</t>
        </is>
      </c>
      <c r="B174" s="7" t="inlineStr">
        <is>
          <t>Quản lý nhà cung cấp sản phẩm, dịch vụ</t>
        </is>
      </c>
      <c r="C174" s="7" t="inlineStr">
        <is>
          <t>5.15.2</t>
        </is>
      </c>
      <c r="D174" s="7" t="inlineStr">
        <is>
          <t>Cập nhật danh sách nhà cung cấp ≥ 1 lần/năm hoặc khi thay đổi</t>
        </is>
      </c>
      <c r="E174" s="11" t="inlineStr"/>
      <c r="F174" s="7" t="inlineStr">
        <is>
          <t>Ngày cập nhật</t>
        </is>
      </c>
      <c r="G174" s="7" t="inlineStr"/>
      <c r="H174" s="11" t="inlineStr"/>
      <c r="I174" s="11" t="inlineStr"/>
    </row>
    <row r="175">
      <c r="A175" s="7" t="inlineStr">
        <is>
          <t>5.16</t>
        </is>
      </c>
      <c r="B175" s="7" t="inlineStr">
        <is>
          <t>Quản trị ứng phó sự cố an ninh mạng</t>
        </is>
      </c>
      <c r="C175" s="7" t="inlineStr">
        <is>
          <t>5.16.1</t>
        </is>
      </c>
      <c r="D175" s="7" t="inlineStr">
        <is>
          <t>Chính sách/quy trình sự cố gồm: phân nhóm; tiếp nhận–xử lý ban đầu; kế hoạch ứng phó; giám sát; quy trình thường/nghiêm trọng; phối hợp; diễn tập định kỳ</t>
        </is>
      </c>
      <c r="E175" s="11" t="inlineStr"/>
      <c r="F175" s="7" t="inlineStr">
        <is>
          <t>Kế hoạch ứng phó sự cố</t>
        </is>
      </c>
      <c r="G175" s="7" t="inlineStr">
        <is>
          <t>Mới/khác so với cấp 2</t>
        </is>
      </c>
      <c r="H175" s="11" t="inlineStr"/>
      <c r="I175" s="11" t="inlineStr"/>
    </row>
    <row r="176">
      <c r="A176" s="7" t="inlineStr">
        <is>
          <t>5.16</t>
        </is>
      </c>
      <c r="B176" s="7" t="inlineStr">
        <is>
          <t>Quản trị ứng phó sự cố an ninh mạng</t>
        </is>
      </c>
      <c r="C176" s="7" t="inlineStr">
        <is>
          <t>5.16.2.1 a)</t>
        </is>
      </c>
      <c r="D176" s="7" t="inlineStr">
        <is>
          <t>Chỉ định người chủ chốt và ít nhất một người dự phòng quản lý ứng phó sự cố</t>
        </is>
      </c>
      <c r="E176" s="11" t="inlineStr"/>
      <c r="F176" s="7" t="inlineStr">
        <is>
          <t>Quyết định phân công</t>
        </is>
      </c>
      <c r="G176" s="7" t="inlineStr"/>
      <c r="H176" s="11" t="inlineStr"/>
      <c r="I176" s="11" t="inlineStr"/>
    </row>
    <row r="177">
      <c r="A177" s="7" t="inlineStr">
        <is>
          <t>5.16</t>
        </is>
      </c>
      <c r="B177" s="7" t="inlineStr">
        <is>
          <t>Quản trị ứng phó sự cố an ninh mạng</t>
        </is>
      </c>
      <c r="C177" s="7" t="inlineStr">
        <is>
          <t>5.16.2.1 b)</t>
        </is>
      </c>
      <c r="D177" s="7" t="inlineStr">
        <is>
          <t>Đầu mối phối hợp với cơ quan quản lý nhà nước về ANM và cơ quan điều hành Liên minh ứng phó sự cố quốc gia</t>
        </is>
      </c>
      <c r="E177" s="11" t="inlineStr"/>
      <c r="F177" s="7" t="inlineStr">
        <is>
          <t>Danh bạ đầu mối, văn bản đăng ký</t>
        </is>
      </c>
      <c r="G177" s="7" t="inlineStr"/>
      <c r="H177" s="11" t="inlineStr"/>
      <c r="I177" s="11" t="inlineStr"/>
    </row>
    <row r="178">
      <c r="A178" s="7" t="inlineStr">
        <is>
          <t>5.16</t>
        </is>
      </c>
      <c r="B178" s="7" t="inlineStr">
        <is>
          <t>Quản trị ứng phó sự cố an ninh mạng</t>
        </is>
      </c>
      <c r="C178" s="7" t="inlineStr">
        <is>
          <t>5.16.2.1 c)</t>
        </is>
      </c>
      <c r="D178" s="7" t="inlineStr">
        <is>
          <t>Đầu mối tiếp nhận báo cáo sự cố; xác minh thông tin liên hệ hằng năm</t>
        </is>
      </c>
      <c r="E178" s="11" t="inlineStr"/>
      <c r="F178" s="7" t="inlineStr">
        <is>
          <t>Danh bạ có ngày xác minh</t>
        </is>
      </c>
      <c r="G178" s="7" t="inlineStr"/>
      <c r="H178" s="11" t="inlineStr"/>
      <c r="I178" s="11" t="inlineStr"/>
    </row>
    <row r="179">
      <c r="A179" s="7" t="inlineStr">
        <is>
          <t>5.16</t>
        </is>
      </c>
      <c r="B179" s="7" t="inlineStr">
        <is>
          <t>Quản trị ứng phó sự cố an ninh mạng</t>
        </is>
      </c>
      <c r="C179" s="7" t="inlineStr">
        <is>
          <t>5.16.2.1 d)</t>
        </is>
      </c>
      <c r="D179" s="7" t="inlineStr">
        <is>
          <t>Phân công vai trò, trách nhiệm từng thành viên đội ứng phó</t>
        </is>
      </c>
      <c r="E179" s="11" t="inlineStr"/>
      <c r="F179" s="7" t="inlineStr">
        <is>
          <t>Bảng RACI đội ứng phó</t>
        </is>
      </c>
      <c r="G179" s="7" t="inlineStr"/>
      <c r="H179" s="11" t="inlineStr"/>
      <c r="I179" s="11" t="inlineStr"/>
    </row>
    <row r="180">
      <c r="A180" s="7" t="inlineStr">
        <is>
          <t>5.16</t>
        </is>
      </c>
      <c r="B180" s="7" t="inlineStr">
        <is>
          <t>Quản trị ứng phó sự cố an ninh mạng</t>
        </is>
      </c>
      <c r="C180" s="7" t="inlineStr">
        <is>
          <t>5.16.2.1 e)</t>
        </is>
      </c>
      <c r="D180" s="7" t="inlineStr">
        <is>
          <t>Quy định trách nhiệm phối hợp của các phòng ban với đội ứng phó</t>
        </is>
      </c>
      <c r="E180" s="11" t="inlineStr"/>
      <c r="F180" s="7" t="inlineStr">
        <is>
          <t>Quy chế phối hợp</t>
        </is>
      </c>
      <c r="G180" s="7" t="inlineStr"/>
      <c r="H180" s="11" t="inlineStr"/>
      <c r="I180" s="11" t="inlineStr"/>
    </row>
    <row r="181">
      <c r="A181" s="7" t="inlineStr">
        <is>
          <t>5.16</t>
        </is>
      </c>
      <c r="B181" s="7" t="inlineStr">
        <is>
          <t>Quản trị ứng phó sự cố an ninh mạng</t>
        </is>
      </c>
      <c r="C181" s="7" t="inlineStr">
        <is>
          <t>5.16.2.2 a)</t>
        </is>
      </c>
      <c r="D181" s="7" t="inlineStr">
        <is>
          <t>Quy trình báo cáo sự cố nội bộ</t>
        </is>
      </c>
      <c r="E181" s="11" t="inlineStr"/>
      <c r="F181" s="7" t="inlineStr">
        <is>
          <t>Quy trình, mẫu báo cáo</t>
        </is>
      </c>
      <c r="G181" s="7" t="inlineStr"/>
      <c r="H181" s="11" t="inlineStr"/>
      <c r="I181" s="11" t="inlineStr"/>
    </row>
    <row r="182">
      <c r="A182" s="7" t="inlineStr">
        <is>
          <t>5.16</t>
        </is>
      </c>
      <c r="B182" s="7" t="inlineStr">
        <is>
          <t>Quản trị ứng phó sự cố an ninh mạng</t>
        </is>
      </c>
      <c r="C182" s="7" t="inlineStr">
        <is>
          <t>5.16.2.2 b)</t>
        </is>
      </c>
      <c r="D182" s="7" t="inlineStr">
        <is>
          <t>Phân nhóm sự cố ANM</t>
        </is>
      </c>
      <c r="E182" s="11" t="inlineStr"/>
      <c r="F182" s="7" t="inlineStr">
        <is>
          <t>Bảng phân loại sự cố</t>
        </is>
      </c>
      <c r="G182" s="7" t="inlineStr"/>
      <c r="H182" s="11" t="inlineStr"/>
      <c r="I182" s="11" t="inlineStr"/>
    </row>
    <row r="183">
      <c r="A183" s="7" t="inlineStr">
        <is>
          <t>5.16</t>
        </is>
      </c>
      <c r="B183" s="7" t="inlineStr">
        <is>
          <t>Quản trị ứng phó sự cố an ninh mạng</t>
        </is>
      </c>
      <c r="C183" s="7" t="inlineStr">
        <is>
          <t>5.16.2.2 c)</t>
        </is>
      </c>
      <c r="D183" s="7" t="inlineStr">
        <is>
          <t>Cập nhật quy trình báo cáo ≥ 1 lần/năm hoặc khi thay đổi</t>
        </is>
      </c>
      <c r="E183" s="11" t="inlineStr"/>
      <c r="F183" s="7" t="inlineStr">
        <is>
          <t>Lịch sử phiên bản</t>
        </is>
      </c>
      <c r="G183" s="7" t="inlineStr"/>
      <c r="H183" s="11" t="inlineStr"/>
      <c r="I183" s="11" t="inlineStr"/>
    </row>
    <row r="184">
      <c r="A184" s="7" t="inlineStr">
        <is>
          <t>5.16</t>
        </is>
      </c>
      <c r="B184" s="7" t="inlineStr">
        <is>
          <t>Quản trị ứng phó sự cố an ninh mạng</t>
        </is>
      </c>
      <c r="C184" s="7" t="inlineStr">
        <is>
          <t>5.16.2.3 a)</t>
        </is>
      </c>
      <c r="D184" s="7" t="inlineStr">
        <is>
          <t>Quy trình ứng phó có cơ chế phối hợp với cơ quan chức năng, chuyên gia, nhà cung cấp dịch vụ</t>
        </is>
      </c>
      <c r="E184" s="11" t="inlineStr"/>
      <c r="F184" s="7" t="inlineStr">
        <is>
          <t>Quy trình ứng phó</t>
        </is>
      </c>
      <c r="G184" s="7" t="inlineStr"/>
      <c r="H184" s="11" t="inlineStr"/>
      <c r="I184" s="11" t="inlineStr"/>
    </row>
    <row r="185">
      <c r="A185" s="7" t="inlineStr">
        <is>
          <t>5.16</t>
        </is>
      </c>
      <c r="B185" s="7" t="inlineStr">
        <is>
          <t>Quản trị ứng phó sự cố an ninh mạng</t>
        </is>
      </c>
      <c r="C185" s="7" t="inlineStr">
        <is>
          <t>5.16.2.3 b)</t>
        </is>
      </c>
      <c r="D185" s="7" t="inlineStr">
        <is>
          <t>Cập nhật quy trình ứng phó ≥ 1 lần/năm hoặc khi thay đổi</t>
        </is>
      </c>
      <c r="E185" s="11" t="inlineStr"/>
      <c r="F185" s="7" t="inlineStr">
        <is>
          <t>Lịch sử phiên bản</t>
        </is>
      </c>
      <c r="G185" s="7" t="inlineStr"/>
      <c r="H185" s="11" t="inlineStr"/>
      <c r="I185" s="11" t="inlineStr"/>
    </row>
    <row r="186">
      <c r="A186" s="7" t="inlineStr">
        <is>
          <t>5.17</t>
        </is>
      </c>
      <c r="B186" s="7" t="inlineStr">
        <is>
          <t>Phát triển ứng dụng an toàn</t>
        </is>
      </c>
      <c r="C186" s="7" t="inlineStr">
        <is>
          <t>5.17.2.1 a)</t>
        </is>
      </c>
      <c r="D186" s="7" t="inlineStr">
        <is>
          <t>Quy trình phát triển ứng dụng an toàn (SDLC)</t>
        </is>
      </c>
      <c r="E186" s="11" t="inlineStr"/>
      <c r="F186" s="7" t="inlineStr">
        <is>
          <t>Quy trình SSDLC</t>
        </is>
      </c>
      <c r="G186" s="7" t="inlineStr">
        <is>
          <t>Mới/khác so với cấp 2</t>
        </is>
      </c>
      <c r="H186" s="11" t="inlineStr"/>
      <c r="I186" s="11" t="inlineStr"/>
    </row>
    <row r="187">
      <c r="A187" s="7" t="inlineStr">
        <is>
          <t>5.17</t>
        </is>
      </c>
      <c r="B187" s="7" t="inlineStr">
        <is>
          <t>Phát triển ứng dụng an toàn</t>
        </is>
      </c>
      <c r="C187" s="7" t="inlineStr">
        <is>
          <t>5.17.2.1 b)</t>
        </is>
      </c>
      <c r="D187" s="7" t="inlineStr">
        <is>
          <t>Cập nhật quy trình ≥ 1 lần/năm hoặc khi thay đổi</t>
        </is>
      </c>
      <c r="E187" s="11" t="inlineStr"/>
      <c r="F187" s="7" t="inlineStr">
        <is>
          <t>Lịch sử phiên bản</t>
        </is>
      </c>
      <c r="G187" s="7" t="inlineStr">
        <is>
          <t>Mới/khác so với cấp 2</t>
        </is>
      </c>
      <c r="H187" s="11" t="inlineStr"/>
      <c r="I187" s="11" t="inlineStr"/>
    </row>
    <row r="188">
      <c r="A188" s="7" t="inlineStr">
        <is>
          <t>5.17</t>
        </is>
      </c>
      <c r="B188" s="7" t="inlineStr">
        <is>
          <t>Phát triển ứng dụng an toàn</t>
        </is>
      </c>
      <c r="C188" s="7" t="inlineStr">
        <is>
          <t>5.17.2.1 c)</t>
        </is>
      </c>
      <c r="D188" s="7" t="inlineStr">
        <is>
          <t>Thuê khoán: hợp đồng, cam kết bảo mật với bên phát triển</t>
        </is>
      </c>
      <c r="E188" s="11" t="inlineStr"/>
      <c r="F188" s="7" t="inlineStr">
        <is>
          <t>Hợp đồng, NDA</t>
        </is>
      </c>
      <c r="G188" s="7" t="inlineStr">
        <is>
          <t>Mới/khác so với cấp 2</t>
        </is>
      </c>
      <c r="H188" s="11" t="inlineStr"/>
      <c r="I188" s="11" t="inlineStr"/>
    </row>
    <row r="189">
      <c r="A189" s="7" t="inlineStr">
        <is>
          <t>5.17</t>
        </is>
      </c>
      <c r="B189" s="7" t="inlineStr">
        <is>
          <t>Phát triển ứng dụng an toàn</t>
        </is>
      </c>
      <c r="C189" s="7" t="inlineStr">
        <is>
          <t>5.17.2.1 c)</t>
        </is>
      </c>
      <c r="D189" s="7" t="inlineStr">
        <is>
          <t>Thuê khoán: nhận mã nguồn; nếu không có thì chứng chỉ đánh giá độc lập hoặc pentest/giám sát thay thế + cam kết pháp lý</t>
        </is>
      </c>
      <c r="E189" s="11" t="inlineStr"/>
      <c r="F189" s="7" t="inlineStr">
        <is>
          <t>Biên bản bàn giao/cam kết</t>
        </is>
      </c>
      <c r="G189" s="7" t="inlineStr">
        <is>
          <t>Mới/khác so với cấp 2</t>
        </is>
      </c>
      <c r="H189" s="11" t="inlineStr"/>
      <c r="I189" s="11" t="inlineStr"/>
    </row>
    <row r="190">
      <c r="A190" s="7" t="inlineStr">
        <is>
          <t>5.17</t>
        </is>
      </c>
      <c r="B190" s="7" t="inlineStr">
        <is>
          <t>Phát triển ứng dụng an toàn</t>
        </is>
      </c>
      <c r="C190" s="7" t="inlineStr">
        <is>
          <t>5.17.2.2 a)</t>
        </is>
      </c>
      <c r="D190" s="7" t="inlineStr">
        <is>
          <t>Quy trình tiếp nhận, xử lý báo cáo lỗ hổng phần mềm, có kênh cho bên ngoài báo cáo</t>
        </is>
      </c>
      <c r="E190" s="11" t="inlineStr"/>
      <c r="F190" s="7" t="inlineStr">
        <is>
          <t>Trang/địa chỉ tiếp nhận (security.txt)</t>
        </is>
      </c>
      <c r="G190" s="7" t="inlineStr">
        <is>
          <t>Mới/khác so với cấp 2</t>
        </is>
      </c>
      <c r="H190" s="11" t="inlineStr"/>
      <c r="I190" s="11" t="inlineStr"/>
    </row>
    <row r="191">
      <c r="A191" s="7" t="inlineStr">
        <is>
          <t>5.17</t>
        </is>
      </c>
      <c r="B191" s="7" t="inlineStr">
        <is>
          <t>Phát triển ứng dụng an toàn</t>
        </is>
      </c>
      <c r="C191" s="7" t="inlineStr">
        <is>
          <t>5.17.2.2 b)</t>
        </is>
      </c>
      <c r="D191" s="7" t="inlineStr">
        <is>
          <t>Cập nhật quy trình ≥ 1 lần/năm hoặc khi thay đổi</t>
        </is>
      </c>
      <c r="E191" s="11" t="inlineStr"/>
      <c r="F191" s="7" t="inlineStr">
        <is>
          <t>Lịch sử phiên bản</t>
        </is>
      </c>
      <c r="G191" s="7" t="inlineStr">
        <is>
          <t>Mới/khác so với cấp 2</t>
        </is>
      </c>
      <c r="H191" s="11" t="inlineStr"/>
      <c r="I191" s="11" t="inlineStr"/>
    </row>
    <row r="192">
      <c r="A192" s="7" t="inlineStr">
        <is>
          <t>5.17</t>
        </is>
      </c>
      <c r="B192" s="7" t="inlineStr">
        <is>
          <t>Phát triển ứng dụng an toàn</t>
        </is>
      </c>
      <c r="C192" s="7" t="inlineStr">
        <is>
          <t>5.17.2.3</t>
        </is>
      </c>
      <c r="D192" s="7" t="inlineStr">
        <is>
          <t>Thiết kế: kiểm tra dữ liệu vào/ra, chống tấn công phổ biến, kiểm soát thông báo lỗi</t>
        </is>
      </c>
      <c r="E192" s="11" t="inlineStr"/>
      <c r="F192" s="7" t="inlineStr">
        <is>
          <t>Tài liệu thiết kế, checklist review</t>
        </is>
      </c>
      <c r="G192" s="7" t="inlineStr">
        <is>
          <t>Mới/khác so với cấp 2</t>
        </is>
      </c>
      <c r="H192" s="11" t="inlineStr"/>
      <c r="I192" s="11" t="inlineStr"/>
    </row>
    <row r="193">
      <c r="A193" s="7" t="inlineStr">
        <is>
          <t>5.17</t>
        </is>
      </c>
      <c r="B193" s="7" t="inlineStr">
        <is>
          <t>Phát triển ứng dụng an toàn</t>
        </is>
      </c>
      <c r="C193" s="7" t="inlineStr">
        <is>
          <t>5.17.2.3</t>
        </is>
      </c>
      <c r="D193" s="7" t="inlineStr">
        <is>
          <t>Không lưu thông tin xác thực, bí mật trong mã nguồn</t>
        </is>
      </c>
      <c r="E193" s="11" t="inlineStr"/>
      <c r="F193" s="7" t="inlineStr">
        <is>
          <t>Kết quả quét secret</t>
        </is>
      </c>
      <c r="G193" s="7" t="inlineStr">
        <is>
          <t>Mới/khác so với cấp 2</t>
        </is>
      </c>
      <c r="H193" s="11" t="inlineStr"/>
      <c r="I193" s="11" t="inlineStr"/>
    </row>
    <row r="194">
      <c r="A194" s="7" t="inlineStr">
        <is>
          <t>5.17</t>
        </is>
      </c>
      <c r="B194" s="7" t="inlineStr">
        <is>
          <t>Phát triển ứng dụng an toàn</t>
        </is>
      </c>
      <c r="C194" s="7" t="inlineStr">
        <is>
          <t>5.17.2.4</t>
        </is>
      </c>
      <c r="D194" s="7" t="inlineStr">
        <is>
          <t>Kiểm tra, khắc phục lỗ hổng ứng dụng, mã nguồn, thư viện bên thứ ba trước khi vận hành chính thức</t>
        </is>
      </c>
      <c r="E194" s="11" t="inlineStr"/>
      <c r="F194" s="7" t="inlineStr">
        <is>
          <t>Báo cáo SAST/SCA/DAST</t>
        </is>
      </c>
      <c r="G194" s="7" t="inlineStr">
        <is>
          <t>Mới/khác so với cấp 2</t>
        </is>
      </c>
      <c r="H194" s="11" t="inlineStr"/>
      <c r="I194" s="11" t="inlineStr"/>
    </row>
    <row r="195">
      <c r="A195" s="7" t="inlineStr">
        <is>
          <t>5.18</t>
        </is>
      </c>
      <c r="B195" s="7" t="inlineStr">
        <is>
          <t>Quản lý kiểm tra an ninh mạng (kiểm thử xâm nhập)</t>
        </is>
      </c>
      <c r="C195" s="7" t="inlineStr">
        <is>
          <t>5.18.2.1 a)</t>
        </is>
      </c>
      <c r="D195" s="7" t="inlineStr">
        <is>
          <t>Chương trình kiểm thử xâm nhập phù hợp quy mô, độ phức tạp của tổ chức</t>
        </is>
      </c>
      <c r="E195" s="11" t="inlineStr"/>
      <c r="F195" s="7" t="inlineStr">
        <is>
          <t>Chương trình pentest</t>
        </is>
      </c>
      <c r="G195" s="7" t="inlineStr">
        <is>
          <t>Mới/khác so với cấp 2</t>
        </is>
      </c>
      <c r="H195" s="11" t="inlineStr"/>
      <c r="I195" s="11" t="inlineStr"/>
    </row>
    <row r="196">
      <c r="A196" s="7" t="inlineStr">
        <is>
          <t>5.18</t>
        </is>
      </c>
      <c r="B196" s="7" t="inlineStr">
        <is>
          <t>Quản lý kiểm tra an ninh mạng (kiểm thử xâm nhập)</t>
        </is>
      </c>
      <c r="C196" s="7" t="inlineStr">
        <is>
          <t>5.18.2.1 b)</t>
        </is>
      </c>
      <c r="D196" s="7" t="inlineStr">
        <is>
          <t>Mỗi đợt được phê duyệt phạm vi, thời gian, phương pháp, đầu mối, xử lý dữ liệu; tránh gián đoạn dịch vụ</t>
        </is>
      </c>
      <c r="E196" s="11" t="inlineStr"/>
      <c r="F196" s="7" t="inlineStr">
        <is>
          <t>Phê duyệt kế hoạch pentest (RoE)</t>
        </is>
      </c>
      <c r="G196" s="7" t="inlineStr">
        <is>
          <t>Mới/khác so với cấp 2</t>
        </is>
      </c>
      <c r="H196" s="11" t="inlineStr"/>
      <c r="I196" s="11" t="inlineStr"/>
    </row>
    <row r="197">
      <c r="A197" s="7" t="inlineStr">
        <is>
          <t>5.18</t>
        </is>
      </c>
      <c r="B197" s="7" t="inlineStr">
        <is>
          <t>Quản lý kiểm tra an ninh mạng (kiểm thử xâm nhập)</t>
        </is>
      </c>
      <c r="C197" s="7" t="inlineStr">
        <is>
          <t>5.18.2.1 b)</t>
        </is>
      </c>
      <c r="D197" s="7" t="inlineStr">
        <is>
          <t>Chương trình xác định phạm vi, tần suất (quý/nửa năm/năm/đột xuất), hành vi bị cấm, cách tổ chức phản ứng</t>
        </is>
      </c>
      <c r="E197" s="11" t="inlineStr"/>
      <c r="F197" s="7" t="inlineStr">
        <is>
          <t>Chương trình pentest</t>
        </is>
      </c>
      <c r="G197" s="7" t="inlineStr">
        <is>
          <t>Mới/khác so với cấp 2</t>
        </is>
      </c>
      <c r="H197" s="11" t="inlineStr"/>
      <c r="I197" s="11" t="inlineStr"/>
    </row>
    <row r="198">
      <c r="A198" s="7" t="inlineStr">
        <is>
          <t>5.18</t>
        </is>
      </c>
      <c r="B198" s="7" t="inlineStr">
        <is>
          <t>Quản lý kiểm tra an ninh mạng (kiểm thử xâm nhập)</t>
        </is>
      </c>
      <c r="C198" s="7" t="inlineStr">
        <is>
          <t>5.18.2.2</t>
        </is>
      </c>
      <c r="D198" s="7" t="inlineStr">
        <is>
          <t>Khắc phục phát hiện từ pentest theo chính sách ưu tiên</t>
        </is>
      </c>
      <c r="E198" s="11" t="inlineStr"/>
      <c r="F198" s="7" t="inlineStr">
        <is>
          <t>Kế hoạch khắc phục, retest</t>
        </is>
      </c>
      <c r="G198" s="7" t="inlineStr">
        <is>
          <t>Mới/khác so với cấp 2</t>
        </is>
      </c>
      <c r="H198" s="11" t="inlineStr"/>
      <c r="I198" s="11" t="inlineStr"/>
    </row>
    <row r="199">
      <c r="A199" s="7" t="inlineStr">
        <is>
          <t>5.18</t>
        </is>
      </c>
      <c r="B199" s="7" t="inlineStr">
        <is>
          <t>Quản lý kiểm tra an ninh mạng (kiểm thử xâm nhập)</t>
        </is>
      </c>
      <c r="C199" s="7" t="inlineStr">
        <is>
          <t>5.18.2.3</t>
        </is>
      </c>
      <c r="D199" s="7" t="inlineStr">
        <is>
          <t>Đánh giá lại hiệu quả biện pháp bảo mật sau mỗi đợt pentest</t>
        </is>
      </c>
      <c r="E199" s="11" t="inlineStr"/>
      <c r="F199" s="7" t="inlineStr">
        <is>
          <t>Báo cáo đánh giá</t>
        </is>
      </c>
      <c r="G199" s="7" t="inlineStr">
        <is>
          <t>Mới/khác so với cấp 2</t>
        </is>
      </c>
      <c r="H199" s="11" t="inlineStr"/>
      <c r="I199" s="11" t="inlineStr"/>
    </row>
  </sheetData>
  <autoFilter ref="A4:I199"/>
  <conditionalFormatting sqref="E5:E199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99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4 (TCVN 14423:2026 mục 6)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6.1</t>
        </is>
      </c>
      <c r="B5" s="7" t="inlineStr">
        <is>
          <t>Quản lý rủi ro an ninh mạng</t>
        </is>
      </c>
      <c r="C5" s="7" t="inlineStr">
        <is>
          <t>6.1.2.1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6.1</t>
        </is>
      </c>
      <c r="B6" s="7" t="inlineStr">
        <is>
          <t>Quản lý rủi ro an ninh mạng</t>
        </is>
      </c>
      <c r="C6" s="7" t="inlineStr">
        <is>
          <t>6.1.2.1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6.1</t>
        </is>
      </c>
      <c r="B7" s="7" t="inlineStr">
        <is>
          <t>Quản lý rủi ro an ninh mạng</t>
        </is>
      </c>
      <c r="C7" s="7" t="inlineStr">
        <is>
          <t>6.1.2.2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/>
      <c r="H7" s="11" t="inlineStr"/>
      <c r="I7" s="11" t="inlineStr"/>
    </row>
    <row r="8">
      <c r="A8" s="7" t="inlineStr">
        <is>
          <t>6.1</t>
        </is>
      </c>
      <c r="B8" s="7" t="inlineStr">
        <is>
          <t>Quản lý rủi ro an ninh mạng</t>
        </is>
      </c>
      <c r="C8" s="7" t="inlineStr">
        <is>
          <t>6.1.2.2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/>
      <c r="H8" s="11" t="inlineStr"/>
      <c r="I8" s="11" t="inlineStr"/>
    </row>
    <row r="9">
      <c r="A9" s="7" t="inlineStr">
        <is>
          <t>6.1</t>
        </is>
      </c>
      <c r="B9" s="7" t="inlineStr">
        <is>
          <t>Quản lý rủi ro an ninh mạng</t>
        </is>
      </c>
      <c r="C9" s="7" t="inlineStr">
        <is>
          <t>6.1.2.2 c)</t>
        </is>
      </c>
      <c r="D9" s="7" t="inlineStr">
        <is>
          <t>Lặp lại nhận diện rủi ro ≥ 1 lần/6 tháng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>
        <is>
          <t>Mới/khác so với cấp 3</t>
        </is>
      </c>
      <c r="H9" s="11" t="inlineStr"/>
      <c r="I9" s="11" t="inlineStr"/>
    </row>
    <row r="10">
      <c r="A10" s="7" t="inlineStr">
        <is>
          <t>6.1</t>
        </is>
      </c>
      <c r="B10" s="7" t="inlineStr">
        <is>
          <t>Quản lý rủi ro an ninh mạng</t>
        </is>
      </c>
      <c r="C10" s="7" t="inlineStr">
        <is>
          <t>6.1.2.3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/>
      <c r="H10" s="11" t="inlineStr"/>
      <c r="I10" s="11" t="inlineStr"/>
    </row>
    <row r="11">
      <c r="A11" s="7" t="inlineStr">
        <is>
          <t>6.1</t>
        </is>
      </c>
      <c r="B11" s="7" t="inlineStr">
        <is>
          <t>Quản lý rủi ro an ninh mạng</t>
        </is>
      </c>
      <c r="C11" s="7" t="inlineStr">
        <is>
          <t>6.1.2.3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/>
      <c r="H11" s="11" t="inlineStr"/>
      <c r="I11" s="11" t="inlineStr"/>
    </row>
    <row r="12">
      <c r="A12" s="7" t="inlineStr">
        <is>
          <t>6.1</t>
        </is>
      </c>
      <c r="B12" s="7" t="inlineStr">
        <is>
          <t>Quản lý rủi ro an ninh mạng</t>
        </is>
      </c>
      <c r="C12" s="7" t="inlineStr">
        <is>
          <t>6.1.2.4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/>
      <c r="H12" s="11" t="inlineStr"/>
      <c r="I12" s="11" t="inlineStr"/>
    </row>
    <row r="13">
      <c r="A13" s="7" t="inlineStr">
        <is>
          <t>6.1</t>
        </is>
      </c>
      <c r="B13" s="7" t="inlineStr">
        <is>
          <t>Quản lý rủi ro an ninh mạng</t>
        </is>
      </c>
      <c r="C13" s="7" t="inlineStr">
        <is>
          <t>6.1.2.4 b)</t>
        </is>
      </c>
      <c r="D13" s="7" t="inlineStr">
        <is>
          <t>Đánh giá, cải thiện hiệu quả biện pháp kiểm soát ≥ 1 lần/6 tháng</t>
        </is>
      </c>
      <c r="E13" s="11" t="inlineStr"/>
      <c r="F13" s="7" t="inlineStr">
        <is>
          <t>Báo cáo đánh giá hiệu quả kiểm soát</t>
        </is>
      </c>
      <c r="G13" s="7" t="inlineStr">
        <is>
          <t>Mới/khác so với cấp 3</t>
        </is>
      </c>
      <c r="H13" s="11" t="inlineStr"/>
      <c r="I13" s="11" t="inlineStr"/>
    </row>
    <row r="14">
      <c r="A14" s="7" t="inlineStr">
        <is>
          <t>6.1</t>
        </is>
      </c>
      <c r="B14" s="7" t="inlineStr">
        <is>
          <t>Quản lý rủi ro an ninh mạng</t>
        </is>
      </c>
      <c r="C14" s="7" t="inlineStr">
        <is>
          <t>6.1.2.5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/>
      <c r="H14" s="11" t="inlineStr"/>
      <c r="I14" s="11" t="inlineStr"/>
    </row>
    <row r="15">
      <c r="A15" s="7" t="inlineStr">
        <is>
          <t>6.1</t>
        </is>
      </c>
      <c r="B15" s="7" t="inlineStr">
        <is>
          <t>Quản lý rủi ro an ninh mạng</t>
        </is>
      </c>
      <c r="C15" s="7" t="inlineStr">
        <is>
          <t>6.1.2.6 a)</t>
        </is>
      </c>
      <c r="D15" s="7" t="inlineStr">
        <is>
          <t>Gửi kết quả đánh giá rủi ro tới những bên có liên quan</t>
        </is>
      </c>
      <c r="E15" s="11" t="inlineStr"/>
      <c r="F15" s="7" t="inlineStr">
        <is>
          <t>Email/biên bản chia sẻ kết quả</t>
        </is>
      </c>
      <c r="G15" s="7" t="inlineStr">
        <is>
          <t>Mới/khác so với cấp 3</t>
        </is>
      </c>
      <c r="H15" s="11" t="inlineStr"/>
      <c r="I15" s="11" t="inlineStr"/>
    </row>
    <row r="16">
      <c r="A16" s="7" t="inlineStr">
        <is>
          <t>6.1</t>
        </is>
      </c>
      <c r="B16" s="7" t="inlineStr">
        <is>
          <t>Quản lý rủi ro an ninh mạng</t>
        </is>
      </c>
      <c r="C16" s="7" t="inlineStr">
        <is>
          <t>6.1.2.6 b)</t>
        </is>
      </c>
      <c r="D16" s="7" t="inlineStr">
        <is>
          <t>Thông báo kịp thời cho bên liên quan khi rủi ro có thay đổi quan trọng</t>
        </is>
      </c>
      <c r="E16" s="11" t="inlineStr"/>
      <c r="F16" s="7" t="inlineStr">
        <is>
          <t>Thông báo, kênh truyền thông rủi ro</t>
        </is>
      </c>
      <c r="G16" s="7" t="inlineStr"/>
      <c r="H16" s="11" t="inlineStr"/>
      <c r="I16" s="11" t="inlineStr"/>
    </row>
    <row r="17">
      <c r="A17" s="7" t="inlineStr">
        <is>
          <t>6.2</t>
        </is>
      </c>
      <c r="B17" s="7" t="inlineStr">
        <is>
          <t>Quản lý tài sản phần cứng</t>
        </is>
      </c>
      <c r="C17" s="7" t="inlineStr">
        <is>
          <t>6.2.1 a)</t>
        </is>
      </c>
      <c r="D17" s="7" t="inlineStr">
        <is>
          <t>Danh mục toàn bộ phần cứng của HTTT, kể cả thiết bị bên ngoài có kết nối vào; xác định tài sản cần giám sát</t>
        </is>
      </c>
      <c r="E17" s="11" t="inlineStr"/>
      <c r="F17" s="7" t="inlineStr">
        <is>
          <t>Danh mục tài sản phần cứng</t>
        </is>
      </c>
      <c r="G17" s="7" t="inlineStr"/>
      <c r="H17" s="11" t="inlineStr"/>
      <c r="I17" s="11" t="inlineStr"/>
    </row>
    <row r="18">
      <c r="A18" s="7" t="inlineStr">
        <is>
          <t>6.2</t>
        </is>
      </c>
      <c r="B18" s="7" t="inlineStr">
        <is>
          <t>Quản lý tài sản phần cứng</t>
        </is>
      </c>
      <c r="C18" s="7" t="inlineStr">
        <is>
          <t>6.2.1 b)</t>
        </is>
      </c>
      <c r="D18" s="7" t="inlineStr">
        <is>
          <t>Phát hiện tài sản vô chủ/trái phép để loại bỏ hoặc đưa vào quản lý</t>
        </is>
      </c>
      <c r="E18" s="11" t="inlineStr"/>
      <c r="F18" s="7" t="inlineStr">
        <is>
          <t>Báo cáo rà soát tài sản</t>
        </is>
      </c>
      <c r="G18" s="7" t="inlineStr"/>
      <c r="H18" s="11" t="inlineStr"/>
      <c r="I18" s="11" t="inlineStr"/>
    </row>
    <row r="19">
      <c r="A19" s="7" t="inlineStr">
        <is>
          <t>6.2</t>
        </is>
      </c>
      <c r="B19" s="7" t="inlineStr">
        <is>
          <t>Quản lý tài sản phần cứng</t>
        </is>
      </c>
      <c r="C19" s="7" t="inlineStr">
        <is>
          <t>6.2.1 c)</t>
        </is>
      </c>
      <c r="D19" s="7" t="inlineStr">
        <is>
          <t>Kiểm kê, cập nhật danh mục tài sản ≥ 1 lần/năm</t>
        </is>
      </c>
      <c r="E19" s="11" t="inlineStr"/>
      <c r="F19" s="7" t="inlineStr">
        <is>
          <t>Biên bản kiểm kê</t>
        </is>
      </c>
      <c r="G19" s="7" t="inlineStr"/>
      <c r="H19" s="11" t="inlineStr"/>
      <c r="I19" s="11" t="inlineStr"/>
    </row>
    <row r="20">
      <c r="A20" s="7" t="inlineStr">
        <is>
          <t>6.2</t>
        </is>
      </c>
      <c r="B20" s="7" t="inlineStr">
        <is>
          <t>Quản lý tài sản phần cứng</t>
        </is>
      </c>
      <c r="C20" s="7" t="inlineStr">
        <is>
          <t>6.2.2.1 a)</t>
        </is>
      </c>
      <c r="D20" s="7" t="inlineStr">
        <is>
          <t>Danh mục phủ mọi thiết bị lưu trữ/xử lý dữ liệu: đầu cuối, di động, lưu trữ ngoài, văn phòng, mạng, OT/IoT, máy chủ vật lý/ảo/cloud</t>
        </is>
      </c>
      <c r="E20" s="11" t="inlineStr"/>
      <c r="F20" s="7" t="inlineStr">
        <is>
          <t>Danh mục tài sản (CMDB/bảng tính)</t>
        </is>
      </c>
      <c r="G20" s="7" t="inlineStr"/>
      <c r="H20" s="11" t="inlineStr"/>
      <c r="I20" s="11" t="inlineStr"/>
    </row>
    <row r="21">
      <c r="A21" s="7" t="inlineStr">
        <is>
          <t>6.2</t>
        </is>
      </c>
      <c r="B21" s="7" t="inlineStr">
        <is>
          <t>Quản lý tài sản phần cứng</t>
        </is>
      </c>
      <c r="C21" s="7" t="inlineStr">
        <is>
          <t>6.2.2.1 b)</t>
        </is>
      </c>
      <c r="D21" s="7" t="inlineStr">
        <is>
          <t>Kiểm tra an ninh tài sản vật lý trước khi đưa vào sử dụng (theo điều kiện thực tế)</t>
        </is>
      </c>
      <c r="E21" s="11" t="inlineStr"/>
      <c r="F21" s="7" t="inlineStr">
        <is>
          <t>Phiếu kiểm tra thiết bị trước khi sử dụng</t>
        </is>
      </c>
      <c r="G21" s="7" t="inlineStr">
        <is>
          <t>Mới/khác so với cấp 3</t>
        </is>
      </c>
      <c r="H21" s="11" t="inlineStr"/>
      <c r="I21" s="11" t="inlineStr"/>
    </row>
    <row r="22">
      <c r="A22" s="7" t="inlineStr">
        <is>
          <t>6.2</t>
        </is>
      </c>
      <c r="B22" s="7" t="inlineStr">
        <is>
          <t>Quản lý tài sản phần cứng</t>
        </is>
      </c>
      <c r="C22" s="7" t="inlineStr">
        <is>
          <t>6.2.2.1 c)</t>
        </is>
      </c>
      <c r="D22" s="7" t="inlineStr">
        <is>
          <t>Trường tối thiểu: tên, IP tĩnh, MAC/serial, hạn hỗ trợ của hãng, vị trí địa lý và trong mạng, mục đích, tình trạng; gán người chịu trách nhiệm</t>
        </is>
      </c>
      <c r="E22" s="11" t="inlineStr"/>
      <c r="F22" s="7" t="inlineStr">
        <is>
          <t>Danh mục có đủ trường, cột người phụ trách</t>
        </is>
      </c>
      <c r="G22" s="7" t="inlineStr"/>
      <c r="H22" s="11" t="inlineStr"/>
      <c r="I22" s="11" t="inlineStr"/>
    </row>
    <row r="23">
      <c r="A23" s="7" t="inlineStr">
        <is>
          <t>6.2</t>
        </is>
      </c>
      <c r="B23" s="7" t="inlineStr">
        <is>
          <t>Quản lý tài sản phần cứng</t>
        </is>
      </c>
      <c r="C23" s="7" t="inlineStr">
        <is>
          <t>6.2.2.1 d)</t>
        </is>
      </c>
      <c r="D23" s="7" t="inlineStr">
        <is>
          <t>Đăng ký thiết bị di động được phép kết nối; quy định trách nhiệm cá nhân khi dùng cho công việc</t>
        </is>
      </c>
      <c r="E23" s="11" t="inlineStr"/>
      <c r="F23" s="7" t="inlineStr">
        <is>
          <t>Sổ đăng ký thiết bị di động, quy định sử dụng</t>
        </is>
      </c>
      <c r="G23" s="7" t="inlineStr"/>
      <c r="H23" s="11" t="inlineStr"/>
      <c r="I23" s="11" t="inlineStr"/>
    </row>
    <row r="24">
      <c r="A24" s="7" t="inlineStr">
        <is>
          <t>6.2</t>
        </is>
      </c>
      <c r="B24" s="7" t="inlineStr">
        <is>
          <t>Quản lý tài sản phần cứng</t>
        </is>
      </c>
      <c r="C24" s="7" t="inlineStr">
        <is>
          <t>6.2.2.2 a)</t>
        </is>
      </c>
      <c r="D24" s="7" t="inlineStr">
        <is>
          <t>Quy trình phát hiện, xử lý thiết bị lạ kết nối trái phép, thực hiện ≥ 1 lần/quý</t>
        </is>
      </c>
      <c r="E24" s="11" t="inlineStr"/>
      <c r="F24" s="7" t="inlineStr">
        <is>
          <t>Quy trình + kết quả các lần rà soát</t>
        </is>
      </c>
      <c r="G24" s="7" t="inlineStr">
        <is>
          <t>Mới/khác so với cấp 3</t>
        </is>
      </c>
      <c r="H24" s="11" t="inlineStr"/>
      <c r="I24" s="11" t="inlineStr"/>
    </row>
    <row r="25">
      <c r="A25" s="7" t="inlineStr">
        <is>
          <t>6.2</t>
        </is>
      </c>
      <c r="B25" s="7" t="inlineStr">
        <is>
          <t>Quản lý tài sản phần cứng</t>
        </is>
      </c>
      <c r="C25" s="7" t="inlineStr">
        <is>
          <t>6.2.2.2 b)</t>
        </is>
      </c>
      <c r="D25" s="7" t="inlineStr">
        <is>
          <t>Xử lý thiết bị trái phép bằng cách gỡ bỏ, từ chối kết nối hoặc cách ly</t>
        </is>
      </c>
      <c r="E25" s="11" t="inlineStr"/>
      <c r="F25" s="7" t="inlineStr">
        <is>
          <t>Nhật ký xử lý</t>
        </is>
      </c>
      <c r="G25" s="7" t="inlineStr"/>
      <c r="H25" s="11" t="inlineStr"/>
      <c r="I25" s="11" t="inlineStr"/>
    </row>
    <row r="26">
      <c r="A26" s="7" t="inlineStr">
        <is>
          <t>6.2</t>
        </is>
      </c>
      <c r="B26" s="7" t="inlineStr">
        <is>
          <t>Quản lý tài sản phần cứng</t>
        </is>
      </c>
      <c r="C26" s="7" t="inlineStr">
        <is>
          <t>6.2.2.3 a)</t>
        </is>
      </c>
      <c r="D26" s="7" t="inlineStr">
        <is>
          <t>Quy định rà quét phát hiện tài sản kết nối vào HTTT ≥ 1 lần/quý</t>
        </is>
      </c>
      <c r="E26" s="11" t="inlineStr"/>
      <c r="F26" s="7" t="inlineStr">
        <is>
          <t>Quy định + kết quả quét mạng</t>
        </is>
      </c>
      <c r="G26" s="7" t="inlineStr">
        <is>
          <t>Mới/khác so với cấp 3</t>
        </is>
      </c>
      <c r="H26" s="11" t="inlineStr"/>
      <c r="I26" s="11" t="inlineStr"/>
    </row>
    <row r="27">
      <c r="A27" s="7" t="inlineStr">
        <is>
          <t>6.2</t>
        </is>
      </c>
      <c r="B27" s="7" t="inlineStr">
        <is>
          <t>Quản lý tài sản phần cứng</t>
        </is>
      </c>
      <c r="C27" s="7" t="inlineStr">
        <is>
          <t>6.2.2.3 b)</t>
        </is>
      </c>
      <c r="D27" s="7" t="inlineStr">
        <is>
          <t>Cập nhật danh mục tài sản theo kết quả rà quét</t>
        </is>
      </c>
      <c r="E27" s="11" t="inlineStr"/>
      <c r="F27" s="7" t="inlineStr">
        <is>
          <t>Lịch sử cập nhật danh mục</t>
        </is>
      </c>
      <c r="G27" s="7" t="inlineStr">
        <is>
          <t>Mới/khác so với cấp 3</t>
        </is>
      </c>
      <c r="H27" s="11" t="inlineStr"/>
      <c r="I27" s="11" t="inlineStr"/>
    </row>
    <row r="28">
      <c r="A28" s="7" t="inlineStr">
        <is>
          <t>6.2</t>
        </is>
      </c>
      <c r="B28" s="7" t="inlineStr">
        <is>
          <t>Quản lý tài sản phần cứng</t>
        </is>
      </c>
      <c r="C28" s="7" t="inlineStr">
        <is>
          <t>6.2.2.4 a)</t>
        </is>
      </c>
      <c r="D28" s="7" t="inlineStr">
        <is>
          <t>Bật ghi log DHCP trên mọi máy chủ DHCP/công cụ quản lý IP (nếu có)</t>
        </is>
      </c>
      <c r="E28" s="11" t="inlineStr"/>
      <c r="F28" s="7" t="inlineStr">
        <is>
          <t>Cấu hình log DHCP/IPAM</t>
        </is>
      </c>
      <c r="G28" s="7" t="inlineStr"/>
      <c r="H28" s="11" t="inlineStr"/>
      <c r="I28" s="11" t="inlineStr"/>
    </row>
    <row r="29">
      <c r="A29" s="7" t="inlineStr">
        <is>
          <t>6.2</t>
        </is>
      </c>
      <c r="B29" s="7" t="inlineStr">
        <is>
          <t>Quản lý tài sản phần cứng</t>
        </is>
      </c>
      <c r="C29" s="7" t="inlineStr">
        <is>
          <t>6.2.2.4 b)</t>
        </is>
      </c>
      <c r="D29" s="7" t="inlineStr">
        <is>
          <t>Rà soát log DHCP để cập nhật danh mục ≥ 1 lần/quý</t>
        </is>
      </c>
      <c r="E29" s="11" t="inlineStr"/>
      <c r="F29" s="7" t="inlineStr">
        <is>
          <t>Biên bản rà soát log DHCP</t>
        </is>
      </c>
      <c r="G29" s="7" t="inlineStr">
        <is>
          <t>Mới/khác so với cấp 3</t>
        </is>
      </c>
      <c r="H29" s="11" t="inlineStr"/>
      <c r="I29" s="11" t="inlineStr"/>
    </row>
    <row r="30">
      <c r="A30" s="7" t="inlineStr">
        <is>
          <t>6.2</t>
        </is>
      </c>
      <c r="B30" s="7" t="inlineStr">
        <is>
          <t>Quản lý tài sản phần cứng</t>
        </is>
      </c>
      <c r="C30" s="7" t="inlineStr">
        <is>
          <t>6.2.2.5 a)</t>
        </is>
      </c>
      <c r="D30" s="7" t="inlineStr">
        <is>
          <t>Có quy trình thanh lý/tiêu hủy tài sản CNTT</t>
        </is>
      </c>
      <c r="E30" s="11" t="inlineStr"/>
      <c r="F30" s="7" t="inlineStr">
        <is>
          <t>Quy trình thanh lý</t>
        </is>
      </c>
      <c r="G30" s="7" t="inlineStr">
        <is>
          <t>Mới/khác so với cấp 3</t>
        </is>
      </c>
      <c r="H30" s="11" t="inlineStr"/>
      <c r="I30" s="11" t="inlineStr"/>
    </row>
    <row r="31">
      <c r="A31" s="7" t="inlineStr">
        <is>
          <t>6.2</t>
        </is>
      </c>
      <c r="B31" s="7" t="inlineStr">
        <is>
          <t>Quản lý tài sản phần cứng</t>
        </is>
      </c>
      <c r="C31" s="7" t="inlineStr">
        <is>
          <t>6.2.2.5 b)</t>
        </is>
      </c>
      <c r="D31" s="7" t="inlineStr">
        <is>
          <t>Dùng biện pháp chuyên dụng xóa sạch dữ liệu máy chủ khi chuyển giao/đổi mục đích</t>
        </is>
      </c>
      <c r="E31" s="11" t="inlineStr"/>
      <c r="F31" s="7" t="inlineStr">
        <is>
          <t>Công cụ/biên bản xóa chuyên dụng</t>
        </is>
      </c>
      <c r="G31" s="7" t="inlineStr">
        <is>
          <t>Mới/khác so với cấp 3</t>
        </is>
      </c>
      <c r="H31" s="11" t="inlineStr"/>
      <c r="I31" s="11" t="inlineStr"/>
    </row>
    <row r="32">
      <c r="A32" s="7" t="inlineStr">
        <is>
          <t>6.3</t>
        </is>
      </c>
      <c r="B32" s="7" t="inlineStr">
        <is>
          <t>Quản lý tài sản phần mềm</t>
        </is>
      </c>
      <c r="C32" s="7" t="inlineStr">
        <is>
          <t>6.3.1 a)</t>
        </is>
      </c>
      <c r="D32" s="7" t="inlineStr">
        <is>
          <t>Quản lý danh mục phần mềm; chỉ phần mềm đã phê duyệt mới được cài và dùng</t>
        </is>
      </c>
      <c r="E32" s="11" t="inlineStr"/>
      <c r="F32" s="7" t="inlineStr">
        <is>
          <t>Danh mục phần mềm, quy trình phê duyệt</t>
        </is>
      </c>
      <c r="G32" s="7" t="inlineStr"/>
      <c r="H32" s="11" t="inlineStr"/>
      <c r="I32" s="11" t="inlineStr"/>
    </row>
    <row r="33">
      <c r="A33" s="7" t="inlineStr">
        <is>
          <t>6.3</t>
        </is>
      </c>
      <c r="B33" s="7" t="inlineStr">
        <is>
          <t>Quản lý tài sản phần mềm</t>
        </is>
      </c>
      <c r="C33" s="7" t="inlineStr">
        <is>
          <t>6.3.1 b)</t>
        </is>
      </c>
      <c r="D33" s="7" t="inlineStr">
        <is>
          <t>Kiểm kê, cập nhật danh mục phần mềm ≥ 1 lần/năm</t>
        </is>
      </c>
      <c r="E33" s="11" t="inlineStr"/>
      <c r="F33" s="7" t="inlineStr">
        <is>
          <t>Biên bản kiểm kê phần mềm</t>
        </is>
      </c>
      <c r="G33" s="7" t="inlineStr"/>
      <c r="H33" s="11" t="inlineStr"/>
      <c r="I33" s="11" t="inlineStr"/>
    </row>
    <row r="34">
      <c r="A34" s="7" t="inlineStr">
        <is>
          <t>6.3</t>
        </is>
      </c>
      <c r="B34" s="7" t="inlineStr">
        <is>
          <t>Quản lý tài sản phần mềm</t>
        </is>
      </c>
      <c r="C34" s="7" t="inlineStr">
        <is>
          <t>6.3.2.1 a)</t>
        </is>
      </c>
      <c r="D34" s="7" t="inlineStr">
        <is>
          <t>Lập danh mục phần mềm đang cài trên các thiết bị thuộc HTTT</t>
        </is>
      </c>
      <c r="E34" s="11" t="inlineStr"/>
      <c r="F34" s="7" t="inlineStr">
        <is>
          <t>Danh mục phần mềm (xuất từ công cụ inventory)</t>
        </is>
      </c>
      <c r="G34" s="7" t="inlineStr"/>
      <c r="H34" s="11" t="inlineStr"/>
      <c r="I34" s="11" t="inlineStr"/>
    </row>
    <row r="35">
      <c r="A35" s="7" t="inlineStr">
        <is>
          <t>6.3</t>
        </is>
      </c>
      <c r="B35" s="7" t="inlineStr">
        <is>
          <t>Quản lý tài sản phần mềm</t>
        </is>
      </c>
      <c r="C35" s="7" t="inlineStr">
        <is>
          <t>6.3.2.1 b)</t>
        </is>
      </c>
      <c r="D35" s="7" t="inlineStr">
        <is>
          <t>Trường tối thiểu: tên, mục đích, hạn hỗ trợ, phạm vi, chủ quản, bản quyền, phiên bản, hệ thống thành phần; gán trách nhiệm</t>
        </is>
      </c>
      <c r="E35" s="11" t="inlineStr"/>
      <c r="F35" s="7" t="inlineStr">
        <is>
          <t>Danh mục có đủ trường</t>
        </is>
      </c>
      <c r="G35" s="7" t="inlineStr"/>
      <c r="H35" s="11" t="inlineStr"/>
      <c r="I35" s="11" t="inlineStr"/>
    </row>
    <row r="36">
      <c r="A36" s="7" t="inlineStr">
        <is>
          <t>6.3</t>
        </is>
      </c>
      <c r="B36" s="7" t="inlineStr">
        <is>
          <t>Quản lý tài sản phần mềm</t>
        </is>
      </c>
      <c r="C36" s="7" t="inlineStr">
        <is>
          <t>6.3.2.2 a)</t>
        </is>
      </c>
      <c r="D36" s="7" t="inlineStr">
        <is>
          <t>Lập danh sách phần mềm được phép sử dụng (whitelist)</t>
        </is>
      </c>
      <c r="E36" s="11" t="inlineStr"/>
      <c r="F36" s="7" t="inlineStr">
        <is>
          <t>Danh sách phần mềm được phép</t>
        </is>
      </c>
      <c r="G36" s="7" t="inlineStr"/>
      <c r="H36" s="11" t="inlineStr"/>
      <c r="I36" s="11" t="inlineStr"/>
    </row>
    <row r="37">
      <c r="A37" s="7" t="inlineStr">
        <is>
          <t>6.3</t>
        </is>
      </c>
      <c r="B37" s="7" t="inlineStr">
        <is>
          <t>Quản lý tài sản phần mềm</t>
        </is>
      </c>
      <c r="C37" s="7" t="inlineStr">
        <is>
          <t>6.3.2.2 b)</t>
        </is>
      </c>
      <c r="D37" s="7" t="inlineStr">
        <is>
          <t>Whitelist gồm cả phần mềm do nhà cung cấp dịch vụ đưa vào và môi trường thực thi của ứng dụng</t>
        </is>
      </c>
      <c r="E37" s="11" t="inlineStr"/>
      <c r="F37" s="7" t="inlineStr">
        <is>
          <t>Whitelist có mục runtime/phần mềm NCC</t>
        </is>
      </c>
      <c r="G37" s="7" t="inlineStr"/>
      <c r="H37" s="11" t="inlineStr"/>
      <c r="I37" s="11" t="inlineStr"/>
    </row>
    <row r="38">
      <c r="A38" s="7" t="inlineStr">
        <is>
          <t>6.3</t>
        </is>
      </c>
      <c r="B38" s="7" t="inlineStr">
        <is>
          <t>Quản lý tài sản phần mềm</t>
        </is>
      </c>
      <c r="C38" s="7" t="inlineStr">
        <is>
          <t>6.3.2.2 c)</t>
        </is>
      </c>
      <c r="D38" s="7" t="inlineStr">
        <is>
          <t>Kiểm soát cài đặt: đặc quyền tối thiểu, chặn cài/gỡ/thực thi trái phép, theo dõi hoạt động cài đặt</t>
        </is>
      </c>
      <c r="E38" s="11" t="inlineStr"/>
      <c r="F38" s="7" t="inlineStr">
        <is>
          <t>Chính sách GPO/MDM/app control, log cài đặt</t>
        </is>
      </c>
      <c r="G38" s="7" t="inlineStr"/>
      <c r="H38" s="11" t="inlineStr"/>
      <c r="I38" s="11" t="inlineStr"/>
    </row>
    <row r="39">
      <c r="A39" s="7" t="inlineStr">
        <is>
          <t>6.3</t>
        </is>
      </c>
      <c r="B39" s="7" t="inlineStr">
        <is>
          <t>Quản lý tài sản phần mềm</t>
        </is>
      </c>
      <c r="C39" s="7" t="inlineStr">
        <is>
          <t>6.3.2.2 d)</t>
        </is>
      </c>
      <c r="D39" s="7" t="inlineStr">
        <is>
          <t>Rà soát whitelist ≥ 1 lần/năm hoặc khi tổ chức thay đổi</t>
        </is>
      </c>
      <c r="E39" s="11" t="inlineStr"/>
      <c r="F39" s="7" t="inlineStr">
        <is>
          <t>Biên bản rà soát whitelist</t>
        </is>
      </c>
      <c r="G39" s="7" t="inlineStr"/>
      <c r="H39" s="11" t="inlineStr"/>
      <c r="I39" s="11" t="inlineStr"/>
    </row>
    <row r="40">
      <c r="A40" s="7" t="inlineStr">
        <is>
          <t>6.3</t>
        </is>
      </c>
      <c r="B40" s="7" t="inlineStr">
        <is>
          <t>Quản lý tài sản phần mềm</t>
        </is>
      </c>
      <c r="C40" s="7" t="inlineStr">
        <is>
          <t>6.3.2.3</t>
        </is>
      </c>
      <c r="D40" s="7" t="inlineStr">
        <is>
          <t>Đối chiếu whitelist với phần mềm đã cài để bảo đảm còn được hãng hỗ trợ ≥ 1 lần/năm</t>
        </is>
      </c>
      <c r="E40" s="11" t="inlineStr"/>
      <c r="F40" s="7" t="inlineStr">
        <is>
          <t>Báo cáo rà soát EOL</t>
        </is>
      </c>
      <c r="G40" s="7" t="inlineStr">
        <is>
          <t>Mới/khác so với cấp 3</t>
        </is>
      </c>
      <c r="H40" s="11" t="inlineStr"/>
      <c r="I40" s="11" t="inlineStr"/>
    </row>
    <row r="41">
      <c r="A41" s="7" t="inlineStr">
        <is>
          <t>6.3</t>
        </is>
      </c>
      <c r="B41" s="7" t="inlineStr">
        <is>
          <t>Quản lý tài sản phần mềm</t>
        </is>
      </c>
      <c r="C41" s="7" t="inlineStr">
        <is>
          <t>6.3.2.4 a)</t>
        </is>
      </c>
      <c r="D41" s="7" t="inlineStr">
        <is>
          <t>Quy trình phát hiện, xử lý phần mềm trái phép ≥ 1 lần/6 tháng</t>
        </is>
      </c>
      <c r="E41" s="11" t="inlineStr"/>
      <c r="F41" s="7" t="inlineStr">
        <is>
          <t>Quy trình + kết quả rà soát</t>
        </is>
      </c>
      <c r="G41" s="7" t="inlineStr">
        <is>
          <t>Mới/khác so với cấp 3</t>
        </is>
      </c>
      <c r="H41" s="11" t="inlineStr"/>
      <c r="I41" s="11" t="inlineStr"/>
    </row>
    <row r="42">
      <c r="A42" s="7" t="inlineStr">
        <is>
          <t>6.3</t>
        </is>
      </c>
      <c r="B42" s="7" t="inlineStr">
        <is>
          <t>Quản lý tài sản phần mềm</t>
        </is>
      </c>
      <c r="C42" s="7" t="inlineStr">
        <is>
          <t>6.3.2.4 b)</t>
        </is>
      </c>
      <c r="D42" s="7" t="inlineStr">
        <is>
          <t>Phần mềm trái phép nhưng cần thiết đưa vào danh sách ngoại lệ, kèm biện pháp giảm thiểu</t>
        </is>
      </c>
      <c r="E42" s="11" t="inlineStr"/>
      <c r="F42" s="7" t="inlineStr">
        <is>
          <t>Danh sách ngoại lệ có biện pháp kiểm soát</t>
        </is>
      </c>
      <c r="G42" s="7" t="inlineStr"/>
      <c r="H42" s="11" t="inlineStr"/>
      <c r="I42" s="11" t="inlineStr"/>
    </row>
    <row r="43">
      <c r="A43" s="7" t="inlineStr">
        <is>
          <t>6.3</t>
        </is>
      </c>
      <c r="B43" s="7" t="inlineStr">
        <is>
          <t>Quản lý tài sản phần mềm</t>
        </is>
      </c>
      <c r="C43" s="7" t="inlineStr">
        <is>
          <t>6.3.2.4 c)</t>
        </is>
      </c>
      <c r="D43" s="7" t="inlineStr">
        <is>
          <t>Lập kế hoạch gỡ sớm phần mềm trái phép ngoài danh sách ngoại lệ</t>
        </is>
      </c>
      <c r="E43" s="11" t="inlineStr"/>
      <c r="F43" s="7" t="inlineStr">
        <is>
          <t>Kế hoạch gỡ bỏ, bằng chứng đã gỡ</t>
        </is>
      </c>
      <c r="G43" s="7" t="inlineStr"/>
      <c r="H43" s="11" t="inlineStr"/>
      <c r="I43" s="11" t="inlineStr"/>
    </row>
    <row r="44">
      <c r="A44" s="7" t="inlineStr">
        <is>
          <t>6.4</t>
        </is>
      </c>
      <c r="B44" s="7" t="inlineStr">
        <is>
          <t>Quản lý tài sản thông tin</t>
        </is>
      </c>
      <c r="C44" s="7" t="inlineStr">
        <is>
          <t>6.4.2.1 a)</t>
        </is>
      </c>
      <c r="D44" s="7" t="inlineStr">
        <is>
          <t>Quy định quản lý tài sản thông tin: danh mục, mức nhạy cảm, chủ sở hữu, cách xử lý, thời hạn lưu, yêu cầu tiêu hủy</t>
        </is>
      </c>
      <c r="E44" s="11" t="inlineStr"/>
      <c r="F44" s="7" t="inlineStr">
        <is>
          <t>Quy định quản lý tài sản thông tin</t>
        </is>
      </c>
      <c r="G44" s="7" t="inlineStr"/>
      <c r="H44" s="11" t="inlineStr"/>
      <c r="I44" s="11" t="inlineStr"/>
    </row>
    <row r="45">
      <c r="A45" s="7" t="inlineStr">
        <is>
          <t>6.4</t>
        </is>
      </c>
      <c r="B45" s="7" t="inlineStr">
        <is>
          <t>Quản lý tài sản thông tin</t>
        </is>
      </c>
      <c r="C45" s="7" t="inlineStr">
        <is>
          <t>6.4.2.1 b)</t>
        </is>
      </c>
      <c r="D45" s="7" t="inlineStr">
        <is>
          <t>Phân loại mức nhạy cảm (gợi ý 4 mức: công khai, nội bộ, hạn chế, bí mật nhà nước)</t>
        </is>
      </c>
      <c r="E45" s="11" t="inlineStr"/>
      <c r="F45" s="7" t="inlineStr">
        <is>
          <t>Bảng phân loại, nhãn dữ liệu</t>
        </is>
      </c>
      <c r="G45" s="7" t="inlineStr"/>
      <c r="H45" s="11" t="inlineStr"/>
      <c r="I45" s="11" t="inlineStr"/>
    </row>
    <row r="46">
      <c r="A46" s="7" t="inlineStr">
        <is>
          <t>6.4</t>
        </is>
      </c>
      <c r="B46" s="7" t="inlineStr">
        <is>
          <t>Quản lý tài sản thông tin</t>
        </is>
      </c>
      <c r="C46" s="7" t="inlineStr">
        <is>
          <t>6.4.2.1 c)</t>
        </is>
      </c>
      <c r="D46" s="7" t="inlineStr">
        <is>
          <t>Quy trình yêu cầu truy cập, thêm, sửa, xóa dữ liệu</t>
        </is>
      </c>
      <c r="E46" s="11" t="inlineStr"/>
      <c r="F46" s="7" t="inlineStr">
        <is>
          <t>Quy trình + phiếu yêu cầu</t>
        </is>
      </c>
      <c r="G46" s="7" t="inlineStr"/>
      <c r="H46" s="11" t="inlineStr"/>
      <c r="I46" s="11" t="inlineStr"/>
    </row>
    <row r="47">
      <c r="A47" s="7" t="inlineStr">
        <is>
          <t>6.4</t>
        </is>
      </c>
      <c r="B47" s="7" t="inlineStr">
        <is>
          <t>Quản lý tài sản thông tin</t>
        </is>
      </c>
      <c r="C47" s="7" t="inlineStr">
        <is>
          <t>6.4.2.1 d)</t>
        </is>
      </c>
      <c r="D47" s="7" t="inlineStr">
        <is>
          <t>Kiểm tra phân quyền dữ liệu ≥ 1 lần/quý</t>
        </is>
      </c>
      <c r="E47" s="11" t="inlineStr"/>
      <c r="F47" s="7" t="inlineStr">
        <is>
          <t>Biên bản rà soát phân quyền</t>
        </is>
      </c>
      <c r="G47" s="7" t="inlineStr">
        <is>
          <t>Mới/khác so với cấp 3</t>
        </is>
      </c>
      <c r="H47" s="11" t="inlineStr"/>
      <c r="I47" s="11" t="inlineStr"/>
    </row>
    <row r="48">
      <c r="A48" s="7" t="inlineStr">
        <is>
          <t>6.4</t>
        </is>
      </c>
      <c r="B48" s="7" t="inlineStr">
        <is>
          <t>Quản lý tài sản thông tin</t>
        </is>
      </c>
      <c r="C48" s="7" t="inlineStr">
        <is>
          <t>6.4.2.1 e)</t>
        </is>
      </c>
      <c r="D48" s="7" t="inlineStr">
        <is>
          <t>Rà soát quy trình quản lý tài sản thông tin ≥ 1 lần/năm hoặc khi thay đổi</t>
        </is>
      </c>
      <c r="E48" s="11" t="inlineStr"/>
      <c r="F48" s="7" t="inlineStr">
        <is>
          <t>Lịch sử phiên bản quy trình</t>
        </is>
      </c>
      <c r="G48" s="7" t="inlineStr"/>
      <c r="H48" s="11" t="inlineStr"/>
      <c r="I48" s="11" t="inlineStr"/>
    </row>
    <row r="49">
      <c r="A49" s="7" t="inlineStr">
        <is>
          <t>6.4</t>
        </is>
      </c>
      <c r="B49" s="7" t="inlineStr">
        <is>
          <t>Quản lý tài sản thông tin</t>
        </is>
      </c>
      <c r="C49" s="7" t="inlineStr">
        <is>
          <t>6.4.2.2 a)</t>
        </is>
      </c>
      <c r="D49" s="7" t="inlineStr">
        <is>
          <t>Lập danh mục tài sản thông tin theo quy trình đã ban hành</t>
        </is>
      </c>
      <c r="E49" s="11" t="inlineStr"/>
      <c r="F49" s="7" t="inlineStr">
        <is>
          <t>Danh mục tài sản thông tin</t>
        </is>
      </c>
      <c r="G49" s="7" t="inlineStr"/>
      <c r="H49" s="11" t="inlineStr"/>
      <c r="I49" s="11" t="inlineStr"/>
    </row>
    <row r="50">
      <c r="A50" s="7" t="inlineStr">
        <is>
          <t>6.4</t>
        </is>
      </c>
      <c r="B50" s="7" t="inlineStr">
        <is>
          <t>Quản lý tài sản thông tin</t>
        </is>
      </c>
      <c r="C50" s="7" t="inlineStr">
        <is>
          <t>6.4.2.2 b)</t>
        </is>
      </c>
      <c r="D50" s="7" t="inlineStr">
        <is>
          <t>Cập nhật danh mục tài sản thông tin ≥ 1 lần/năm hoặc khi thay đổi</t>
        </is>
      </c>
      <c r="E50" s="11" t="inlineStr"/>
      <c r="F50" s="7" t="inlineStr">
        <is>
          <t>Ngày cập nhật danh mục</t>
        </is>
      </c>
      <c r="G50" s="7" t="inlineStr"/>
      <c r="H50" s="11" t="inlineStr"/>
      <c r="I50" s="11" t="inlineStr"/>
    </row>
    <row r="51">
      <c r="A51" s="7" t="inlineStr">
        <is>
          <t>6.4</t>
        </is>
      </c>
      <c r="B51" s="7" t="inlineStr">
        <is>
          <t>Quản lý tài sản thông tin</t>
        </is>
      </c>
      <c r="C51" s="7" t="inlineStr">
        <is>
          <t>6.4.2.3</t>
        </is>
      </c>
      <c r="D51" s="7" t="inlineStr">
        <is>
          <t>Ma trận quyền truy cập của từng tài khoản/người dùng với từng loại tài sản thông tin</t>
        </is>
      </c>
      <c r="E51" s="11" t="inlineStr"/>
      <c r="F51" s="7" t="inlineStr">
        <is>
          <t>Ma trận phân quyền (ACL)</t>
        </is>
      </c>
      <c r="G51" s="7" t="inlineStr"/>
      <c r="H51" s="11" t="inlineStr"/>
      <c r="I51" s="11" t="inlineStr"/>
    </row>
    <row r="52">
      <c r="A52" s="7" t="inlineStr">
        <is>
          <t>6.4</t>
        </is>
      </c>
      <c r="B52" s="7" t="inlineStr">
        <is>
          <t>Quản lý tài sản thông tin</t>
        </is>
      </c>
      <c r="C52" s="7" t="inlineStr">
        <is>
          <t>6.4.2.4 a)</t>
        </is>
      </c>
      <c r="D52" s="7" t="inlineStr">
        <is>
          <t>Mã hóa (hoặc tương đương) thông tin xác thực, dữ liệu nhạy cảm cao, dữ liệu quan trọng khi lưu</t>
        </is>
      </c>
      <c r="E52" s="11" t="inlineStr"/>
      <c r="F52" s="7" t="inlineStr">
        <is>
          <t>Cấu hình mã hóa (DB/đĩa/hash mật khẩu)</t>
        </is>
      </c>
      <c r="G52" s="7" t="inlineStr"/>
      <c r="H52" s="11" t="inlineStr"/>
      <c r="I52" s="11" t="inlineStr"/>
    </row>
    <row r="53">
      <c r="A53" s="7" t="inlineStr">
        <is>
          <t>6.4</t>
        </is>
      </c>
      <c r="B53" s="7" t="inlineStr">
        <is>
          <t>Quản lý tài sản thông tin</t>
        </is>
      </c>
      <c r="C53" s="7" t="inlineStr">
        <is>
          <t>6.4.2.4 b)</t>
        </is>
      </c>
      <c r="D53" s="7" t="inlineStr">
        <is>
          <t>Bảo vệ thông tin xác thực, dữ liệu nhạy cảm cao/quan trọng khi truyền (mã hóa hoặc tương đương)</t>
        </is>
      </c>
      <c r="E53" s="11" t="inlineStr"/>
      <c r="F53" s="7" t="inlineStr">
        <is>
          <t>Cấu hình TLS/VPN, kết quả kiểm tra</t>
        </is>
      </c>
      <c r="G53" s="7" t="inlineStr">
        <is>
          <t>Mới/khác so với cấp 3</t>
        </is>
      </c>
      <c r="H53" s="11" t="inlineStr"/>
      <c r="I53" s="11" t="inlineStr"/>
    </row>
    <row r="54">
      <c r="A54" s="7" t="inlineStr">
        <is>
          <t>6.4</t>
        </is>
      </c>
      <c r="B54" s="7" t="inlineStr">
        <is>
          <t>Quản lý tài sản thông tin</t>
        </is>
      </c>
      <c r="C54" s="7" t="inlineStr">
        <is>
          <t>6.4.2.4 c)</t>
        </is>
      </c>
      <c r="D54" s="7" t="inlineStr">
        <is>
          <t>Dữ liệu quan trọng được mã hóa ít nhất 2 lớp khi truyền qua mạng (kênh an toàn + mã hóa nội dung)</t>
        </is>
      </c>
      <c r="E54" s="11" t="inlineStr"/>
      <c r="F54" s="7" t="inlineStr">
        <is>
          <t>Sơ đồ luồng mã hóa 2 lớp</t>
        </is>
      </c>
      <c r="G54" s="7" t="inlineStr">
        <is>
          <t>Mới/khác so với cấp 3</t>
        </is>
      </c>
      <c r="H54" s="11" t="inlineStr"/>
      <c r="I54" s="11" t="inlineStr"/>
    </row>
    <row r="55">
      <c r="A55" s="7" t="inlineStr">
        <is>
          <t>6.4</t>
        </is>
      </c>
      <c r="B55" s="7" t="inlineStr">
        <is>
          <t>Quản lý tài sản thông tin</t>
        </is>
      </c>
      <c r="C55" s="7" t="inlineStr">
        <is>
          <t>6.4.2.4 d)</t>
        </is>
      </c>
      <c r="D55" s="7" t="inlineStr">
        <is>
          <t>Có phương án chuyên dụng quản lý, bảo vệ dữ liệu mã hóa và khóa giải mã</t>
        </is>
      </c>
      <c r="E55" s="11" t="inlineStr"/>
      <c r="F55" s="7" t="inlineStr">
        <is>
          <t>Thiết kế KMS/quy trình quản lý khóa</t>
        </is>
      </c>
      <c r="G55" s="7" t="inlineStr">
        <is>
          <t>Mới/khác so với cấp 3</t>
        </is>
      </c>
      <c r="H55" s="11" t="inlineStr"/>
      <c r="I55" s="11" t="inlineStr"/>
    </row>
    <row r="56">
      <c r="A56" s="7" t="inlineStr">
        <is>
          <t>6.4</t>
        </is>
      </c>
      <c r="B56" s="7" t="inlineStr">
        <is>
          <t>Quản lý tài sản thông tin</t>
        </is>
      </c>
      <c r="C56" s="7" t="inlineStr">
        <is>
          <t>6.4.2.4 e)</t>
        </is>
      </c>
      <c r="D56" s="7" t="inlineStr">
        <is>
          <t>Chỉ dùng thuật toán mã hóa mạnh, chưa bị tổ chức quốc tế công bố điểm yếu</t>
        </is>
      </c>
      <c r="E56" s="11" t="inlineStr"/>
      <c r="F56" s="7" t="inlineStr">
        <is>
          <t>Danh mục thuật toán được phép</t>
        </is>
      </c>
      <c r="G56" s="7" t="inlineStr">
        <is>
          <t>Mới/khác so với cấp 3</t>
        </is>
      </c>
      <c r="H56" s="11" t="inlineStr"/>
      <c r="I56" s="11" t="inlineStr"/>
    </row>
    <row r="57">
      <c r="A57" s="7" t="inlineStr">
        <is>
          <t>6.4</t>
        </is>
      </c>
      <c r="B57" s="7" t="inlineStr">
        <is>
          <t>Quản lý tài sản thông tin</t>
        </is>
      </c>
      <c r="C57" s="7" t="inlineStr">
        <is>
          <t>6.4.2.5 a)</t>
        </is>
      </c>
      <c r="D57" s="7" t="inlineStr">
        <is>
          <t>Lưu dữ liệu quan trọng kèm mã kiểm tra toàn vẹn (checksum/hash/chữ ký)</t>
        </is>
      </c>
      <c r="E57" s="11" t="inlineStr"/>
      <c r="F57" s="7" t="inlineStr">
        <is>
          <t>Thiết kế kiểm tra toàn vẹn</t>
        </is>
      </c>
      <c r="G57" s="7" t="inlineStr"/>
      <c r="H57" s="11" t="inlineStr"/>
      <c r="I57" s="11" t="inlineStr"/>
    </row>
    <row r="58">
      <c r="A58" s="7" t="inlineStr">
        <is>
          <t>6.4</t>
        </is>
      </c>
      <c r="B58" s="7" t="inlineStr">
        <is>
          <t>Quản lý tài sản thông tin</t>
        </is>
      </c>
      <c r="C58" s="7" t="inlineStr">
        <is>
          <t>6.4.2.5 b)</t>
        </is>
      </c>
      <c r="D58" s="7" t="inlineStr">
        <is>
          <t>Giám sát, cảnh báo khi dữ liệu trên hệ thống/phương tiện lưu trữ bị thay đổi</t>
        </is>
      </c>
      <c r="E58" s="11" t="inlineStr"/>
      <c r="F58" s="7" t="inlineStr">
        <is>
          <t>Cấu hình FIM, cảnh báo</t>
        </is>
      </c>
      <c r="G58" s="7" t="inlineStr">
        <is>
          <t>Mới/khác so với cấp 3</t>
        </is>
      </c>
      <c r="H58" s="11" t="inlineStr"/>
      <c r="I58" s="11" t="inlineStr"/>
    </row>
    <row r="59">
      <c r="A59" s="7" t="inlineStr">
        <is>
          <t>6.4</t>
        </is>
      </c>
      <c r="B59" s="7" t="inlineStr">
        <is>
          <t>Quản lý tài sản thông tin</t>
        </is>
      </c>
      <c r="C59" s="7" t="inlineStr">
        <is>
          <t>6.4.2.5 c)</t>
        </is>
      </c>
      <c r="D59" s="7" t="inlineStr">
        <is>
          <t>Có phương án khôi phục tính toàn vẹn của dữ liệu</t>
        </is>
      </c>
      <c r="E59" s="11" t="inlineStr"/>
      <c r="F59" s="7" t="inlineStr">
        <is>
          <t>Phương án khôi phục</t>
        </is>
      </c>
      <c r="G59" s="7" t="inlineStr">
        <is>
          <t>Mới/khác so với cấp 3</t>
        </is>
      </c>
      <c r="H59" s="11" t="inlineStr"/>
      <c r="I59" s="11" t="inlineStr"/>
    </row>
    <row r="60">
      <c r="A60" s="7" t="inlineStr">
        <is>
          <t>6.4</t>
        </is>
      </c>
      <c r="B60" s="7" t="inlineStr">
        <is>
          <t>Quản lý tài sản thông tin</t>
        </is>
      </c>
      <c r="C60" s="7" t="inlineStr">
        <is>
          <t>6.4.2.6 a)</t>
        </is>
      </c>
      <c r="D60" s="7" t="inlineStr">
        <is>
          <t>Tài liệu hóa toàn bộ luồng dữ liệu trong HTTT</t>
        </is>
      </c>
      <c r="E60" s="11" t="inlineStr"/>
      <c r="F60" s="7" t="inlineStr">
        <is>
          <t>Sơ đồ luồng dữ liệu</t>
        </is>
      </c>
      <c r="G60" s="7" t="inlineStr">
        <is>
          <t>Mới/khác so với cấp 3</t>
        </is>
      </c>
      <c r="H60" s="11" t="inlineStr"/>
      <c r="I60" s="11" t="inlineStr"/>
    </row>
    <row r="61">
      <c r="A61" s="7" t="inlineStr">
        <is>
          <t>6.4</t>
        </is>
      </c>
      <c r="B61" s="7" t="inlineStr">
        <is>
          <t>Quản lý tài sản thông tin</t>
        </is>
      </c>
      <c r="C61" s="7" t="inlineStr">
        <is>
          <t>6.4.2.6 b)</t>
        </is>
      </c>
      <c r="D61" s="7" t="inlineStr">
        <is>
          <t>Áp dụng quy định quản lý phiên bản tài liệu</t>
        </is>
      </c>
      <c r="E61" s="11" t="inlineStr"/>
      <c r="F61" s="7" t="inlineStr">
        <is>
          <t>Quy định quản lý tài liệu</t>
        </is>
      </c>
      <c r="G61" s="7" t="inlineStr"/>
      <c r="H61" s="11" t="inlineStr"/>
      <c r="I61" s="11" t="inlineStr"/>
    </row>
    <row r="62">
      <c r="A62" s="7" t="inlineStr">
        <is>
          <t>6.4</t>
        </is>
      </c>
      <c r="B62" s="7" t="inlineStr">
        <is>
          <t>Quản lý tài sản thông tin</t>
        </is>
      </c>
      <c r="C62" s="7" t="inlineStr">
        <is>
          <t>6.4.2.6 c)</t>
        </is>
      </c>
      <c r="D62" s="7" t="inlineStr">
        <is>
          <t>Cập nhật tài liệu luồng dữ liệu ≥ 1 lần/năm hoặc khi thay đổi</t>
        </is>
      </c>
      <c r="E62" s="11" t="inlineStr"/>
      <c r="F62" s="7" t="inlineStr">
        <is>
          <t>Lịch sử phiên bản</t>
        </is>
      </c>
      <c r="G62" s="7" t="inlineStr"/>
      <c r="H62" s="11" t="inlineStr"/>
      <c r="I62" s="11" t="inlineStr"/>
    </row>
    <row r="63">
      <c r="A63" s="7" t="inlineStr">
        <is>
          <t>6.4</t>
        </is>
      </c>
      <c r="B63" s="7" t="inlineStr">
        <is>
          <t>Quản lý tài sản thông tin</t>
        </is>
      </c>
      <c r="C63" s="7" t="inlineStr">
        <is>
          <t>6.4.2.7 a)</t>
        </is>
      </c>
      <c r="D63" s="7" t="inlineStr">
        <is>
          <t>Có quy định về xử lý dữ liệu nhạy cảm</t>
        </is>
      </c>
      <c r="E63" s="11" t="inlineStr"/>
      <c r="F63" s="7" t="inlineStr">
        <is>
          <t>Quy định xử lý dữ liệu</t>
        </is>
      </c>
      <c r="G63" s="7" t="inlineStr">
        <is>
          <t>Mới/khác so với cấp 3</t>
        </is>
      </c>
      <c r="H63" s="11" t="inlineStr"/>
      <c r="I63" s="11" t="inlineStr"/>
    </row>
    <row r="64">
      <c r="A64" s="7" t="inlineStr">
        <is>
          <t>6.4</t>
        </is>
      </c>
      <c r="B64" s="7" t="inlineStr">
        <is>
          <t>Quản lý tài sản thông tin</t>
        </is>
      </c>
      <c r="C64" s="7" t="inlineStr">
        <is>
          <t>6.4.2.7 b)</t>
        </is>
      </c>
      <c r="D64" s="7" t="inlineStr">
        <is>
          <t>Tách môi trường xử lý/lưu dữ liệu nhạy cảm cao, quan trọng khỏi dữ liệu nhạy cảm thấp (logic/vật lý hoặc tương đương)</t>
        </is>
      </c>
      <c r="E64" s="11" t="inlineStr"/>
      <c r="F64" s="7" t="inlineStr">
        <is>
          <t>Sơ đồ phân tách môi trường</t>
        </is>
      </c>
      <c r="G64" s="7" t="inlineStr"/>
      <c r="H64" s="11" t="inlineStr"/>
      <c r="I64" s="11" t="inlineStr"/>
    </row>
    <row r="65">
      <c r="A65" s="7" t="inlineStr">
        <is>
          <t>6.4</t>
        </is>
      </c>
      <c r="B65" s="7" t="inlineStr">
        <is>
          <t>Quản lý tài sản thông tin</t>
        </is>
      </c>
      <c r="C65" s="7" t="inlineStr">
        <is>
          <t>6.4.2.7 c)</t>
        </is>
      </c>
      <c r="D65" s="7" t="inlineStr">
        <is>
          <t>Dùng kênh vật lý riêng hoặc tương đương khi truyền dữ liệu quan trọng/nhạy cảm cao qua mạng</t>
        </is>
      </c>
      <c r="E65" s="11" t="inlineStr"/>
      <c r="F65" s="7" t="inlineStr">
        <is>
          <t>Thiết kế kênh truyền riêng</t>
        </is>
      </c>
      <c r="G65" s="7" t="inlineStr">
        <is>
          <t>Mới/khác so với cấp 3</t>
        </is>
      </c>
      <c r="H65" s="11" t="inlineStr"/>
      <c r="I65" s="11" t="inlineStr"/>
    </row>
    <row r="66">
      <c r="A66" s="7" t="inlineStr">
        <is>
          <t>6.4</t>
        </is>
      </c>
      <c r="B66" s="7" t="inlineStr">
        <is>
          <t>Quản lý tài sản thông tin</t>
        </is>
      </c>
      <c r="C66" s="7" t="inlineStr">
        <is>
          <t>6.4.2.8</t>
        </is>
      </c>
      <c r="D66" s="7" t="inlineStr">
        <is>
          <t>Triển khai giải pháp chống thất thoát dữ liệu (DLP) cho dữ liệu nhạy cảm cao/quan trọng</t>
        </is>
      </c>
      <c r="E66" s="11" t="inlineStr"/>
      <c r="F66" s="7" t="inlineStr">
        <is>
          <t>Hồ sơ giải pháp DLP, chính sách</t>
        </is>
      </c>
      <c r="G66" s="7" t="inlineStr">
        <is>
          <t>Mới/khác so với cấp 3</t>
        </is>
      </c>
      <c r="H66" s="11" t="inlineStr"/>
      <c r="I66" s="11" t="inlineStr"/>
    </row>
    <row r="67">
      <c r="A67" s="7" t="inlineStr">
        <is>
          <t>6.4</t>
        </is>
      </c>
      <c r="B67" s="7" t="inlineStr">
        <is>
          <t>Quản lý tài sản thông tin</t>
        </is>
      </c>
      <c r="C67" s="7" t="inlineStr">
        <is>
          <t>6.4.2.9 a)</t>
        </is>
      </c>
      <c r="D67" s="7" t="inlineStr">
        <is>
          <t>Ghi log mọi thao tác trên dữ liệu nhạy cảm cao/quan trọng</t>
        </is>
      </c>
      <c r="E67" s="11" t="inlineStr"/>
      <c r="F67" s="7" t="inlineStr">
        <is>
          <t>Cấu hình audit log dữ liệu</t>
        </is>
      </c>
      <c r="G67" s="7" t="inlineStr">
        <is>
          <t>Mới/khác so với cấp 3</t>
        </is>
      </c>
      <c r="H67" s="11" t="inlineStr"/>
      <c r="I67" s="11" t="inlineStr"/>
    </row>
    <row r="68">
      <c r="A68" s="7" t="inlineStr">
        <is>
          <t>6.4</t>
        </is>
      </c>
      <c r="B68" s="7" t="inlineStr">
        <is>
          <t>Quản lý tài sản thông tin</t>
        </is>
      </c>
      <c r="C68" s="7" t="inlineStr">
        <is>
          <t>6.4.2.9 b)</t>
        </is>
      </c>
      <c r="D68" s="7" t="inlineStr">
        <is>
          <t>Rà soát log truy cập dữ liệu quan trọng ≥ 1 lần/quý</t>
        </is>
      </c>
      <c r="E68" s="11" t="inlineStr"/>
      <c r="F68" s="7" t="inlineStr">
        <is>
          <t>Biên bản rà soát</t>
        </is>
      </c>
      <c r="G68" s="7" t="inlineStr">
        <is>
          <t>Mới/khác so với cấp 3</t>
        </is>
      </c>
      <c r="H68" s="11" t="inlineStr"/>
      <c r="I68" s="11" t="inlineStr"/>
    </row>
    <row r="69">
      <c r="A69" s="7" t="inlineStr">
        <is>
          <t>6.4</t>
        </is>
      </c>
      <c r="B69" s="7" t="inlineStr">
        <is>
          <t>Quản lý tài sản thông tin</t>
        </is>
      </c>
      <c r="C69" s="7" t="inlineStr">
        <is>
          <t>6.4.2.10 a)</t>
        </is>
      </c>
      <c r="D69" s="7" t="inlineStr">
        <is>
          <t>Dùng chữ ký số khi trao đổi dữ liệu nhạy cảm cao/quan trọng</t>
        </is>
      </c>
      <c r="E69" s="11" t="inlineStr"/>
      <c r="F69" s="7" t="inlineStr">
        <is>
          <t>Quy định ký số, mẫu đã ký</t>
        </is>
      </c>
      <c r="G69" s="7" t="inlineStr">
        <is>
          <t>Mới/khác so với cấp 3</t>
        </is>
      </c>
      <c r="H69" s="11" t="inlineStr"/>
      <c r="I69" s="11" t="inlineStr"/>
    </row>
    <row r="70">
      <c r="A70" s="7" t="inlineStr">
        <is>
          <t>6.4</t>
        </is>
      </c>
      <c r="B70" s="7" t="inlineStr">
        <is>
          <t>Quản lý tài sản thông tin</t>
        </is>
      </c>
      <c r="C70" s="7" t="inlineStr">
        <is>
          <t>6.4.2.10 b)</t>
        </is>
      </c>
      <c r="D70" s="7" t="inlineStr">
        <is>
          <t>Chữ ký số do cơ quan có thẩm quyền hoặc tổ chức cung cấp dịch vụ được cấp phép cung cấp</t>
        </is>
      </c>
      <c r="E70" s="11" t="inlineStr"/>
      <c r="F70" s="7" t="inlineStr">
        <is>
          <t>Chứng thư số, hợp đồng CA</t>
        </is>
      </c>
      <c r="G70" s="7" t="inlineStr">
        <is>
          <t>Mới/khác so với cấp 3</t>
        </is>
      </c>
      <c r="H70" s="11" t="inlineStr"/>
      <c r="I70" s="11" t="inlineStr"/>
    </row>
    <row r="71">
      <c r="A71" s="7" t="inlineStr">
        <is>
          <t>6.4</t>
        </is>
      </c>
      <c r="B71" s="7" t="inlineStr">
        <is>
          <t>Quản lý tài sản thông tin</t>
        </is>
      </c>
      <c r="C71" s="7" t="inlineStr">
        <is>
          <t>6.4.2.10 c)</t>
        </is>
      </c>
      <c r="D71" s="7" t="inlineStr">
        <is>
          <t>Có phương án bảo đảm an ninh khi quản lý và sử dụng chữ ký số</t>
        </is>
      </c>
      <c r="E71" s="11" t="inlineStr"/>
      <c r="F71" s="7" t="inlineStr">
        <is>
          <t>Quy định quản lý token/chứng thư</t>
        </is>
      </c>
      <c r="G71" s="7" t="inlineStr">
        <is>
          <t>Mới/khác so với cấp 3</t>
        </is>
      </c>
      <c r="H71" s="11" t="inlineStr"/>
      <c r="I71" s="11" t="inlineStr"/>
    </row>
    <row r="72">
      <c r="A72" s="7" t="inlineStr">
        <is>
          <t>6.5</t>
        </is>
      </c>
      <c r="B72" s="7" t="inlineStr">
        <is>
          <t>Cấu hình an toàn phần cứng, phần mềm</t>
        </is>
      </c>
      <c r="C72" s="7" t="inlineStr">
        <is>
          <t>6.5.2.1 a)</t>
        </is>
      </c>
      <c r="D72" s="7" t="inlineStr">
        <is>
          <t>Ban hành quy định/quy trình cấu hình an toàn cho phần cứng và phần mềm</t>
        </is>
      </c>
      <c r="E72" s="11" t="inlineStr"/>
      <c r="F72" s="7" t="inlineStr">
        <is>
          <t>Quy trình cấu hình an toàn</t>
        </is>
      </c>
      <c r="G72" s="7" t="inlineStr"/>
      <c r="H72" s="11" t="inlineStr"/>
      <c r="I72" s="11" t="inlineStr"/>
    </row>
    <row r="73">
      <c r="A73" s="7" t="inlineStr">
        <is>
          <t>6.5</t>
        </is>
      </c>
      <c r="B73" s="7" t="inlineStr">
        <is>
          <t>Cấu hình an toàn phần cứng, phần mềm</t>
        </is>
      </c>
      <c r="C73" s="7" t="inlineStr">
        <is>
          <t>6.5.2.1 b)</t>
        </is>
      </c>
      <c r="D73" s="7" t="inlineStr">
        <is>
          <t>Có tài liệu cấu hình chuẩn/hardening; giao thức an toàn; tường lửa host; chống tự động đăng nhập trên tài sản xử lý dữ liệu quan trọng</t>
        </is>
      </c>
      <c r="E73" s="11" t="inlineStr"/>
      <c r="F73" s="7" t="inlineStr">
        <is>
          <t>Baseline cấu hình (vd theo CIS), ảnh chụp cấu hình</t>
        </is>
      </c>
      <c r="G73" s="7" t="inlineStr"/>
      <c r="H73" s="11" t="inlineStr"/>
      <c r="I73" s="11" t="inlineStr"/>
    </row>
    <row r="74">
      <c r="A74" s="7" t="inlineStr">
        <is>
          <t>6.5</t>
        </is>
      </c>
      <c r="B74" s="7" t="inlineStr">
        <is>
          <t>Cấu hình an toàn phần cứng, phần mềm</t>
        </is>
      </c>
      <c r="C74" s="7" t="inlineStr">
        <is>
          <t>6.5.2.1 c)</t>
        </is>
      </c>
      <c r="D74" s="7" t="inlineStr">
        <is>
          <t>Tắt giao thức mạng không an toàn và dịch vụ không dùng</t>
        </is>
      </c>
      <c r="E74" s="11" t="inlineStr"/>
      <c r="F74" s="7" t="inlineStr">
        <is>
          <t>Kết quả quét cổng/dịch vụ</t>
        </is>
      </c>
      <c r="G74" s="7" t="inlineStr"/>
      <c r="H74" s="11" t="inlineStr"/>
      <c r="I74" s="11" t="inlineStr"/>
    </row>
    <row r="75">
      <c r="A75" s="7" t="inlineStr">
        <is>
          <t>6.5</t>
        </is>
      </c>
      <c r="B75" s="7" t="inlineStr">
        <is>
          <t>Cấu hình an toàn phần cứng, phần mềm</t>
        </is>
      </c>
      <c r="C75" s="7" t="inlineStr">
        <is>
          <t>6.5.2.1 d)</t>
        </is>
      </c>
      <c r="D75" s="7" t="inlineStr">
        <is>
          <t>Hardening thiết bị trước khi đưa vào vận hành</t>
        </is>
      </c>
      <c r="E75" s="11" t="inlineStr"/>
      <c r="F75" s="7" t="inlineStr">
        <is>
          <t>Checklist hardening trước go-live</t>
        </is>
      </c>
      <c r="G75" s="7" t="inlineStr"/>
      <c r="H75" s="11" t="inlineStr"/>
      <c r="I75" s="11" t="inlineStr"/>
    </row>
    <row r="76">
      <c r="A76" s="7" t="inlineStr">
        <is>
          <t>6.5</t>
        </is>
      </c>
      <c r="B76" s="7" t="inlineStr">
        <is>
          <t>Cấu hình an toàn phần cứng, phần mềm</t>
        </is>
      </c>
      <c r="C76" s="7" t="inlineStr">
        <is>
          <t>6.5.2.1 e)</t>
        </is>
      </c>
      <c r="D76" s="7" t="inlineStr">
        <is>
          <t>Rà soát quy định và tài liệu cấu hình ≥ 1 lần/năm hoặc khi thay đổi</t>
        </is>
      </c>
      <c r="E76" s="11" t="inlineStr"/>
      <c r="F76" s="7" t="inlineStr">
        <is>
          <t>Lịch sử phiên bản</t>
        </is>
      </c>
      <c r="G76" s="7" t="inlineStr"/>
      <c r="H76" s="11" t="inlineStr"/>
      <c r="I76" s="11" t="inlineStr"/>
    </row>
    <row r="77">
      <c r="A77" s="7" t="inlineStr">
        <is>
          <t>6.5</t>
        </is>
      </c>
      <c r="B77" s="7" t="inlineStr">
        <is>
          <t>Cấu hình an toàn phần cứng, phần mềm</t>
        </is>
      </c>
      <c r="C77" s="7" t="inlineStr">
        <is>
          <t>6.5.2.2 a)</t>
        </is>
      </c>
      <c r="D77" s="7" t="inlineStr">
        <is>
          <t>Tự khóa phiên theo đánh giá rủi ro — gợi ý: máy người dùng ≤ 15'; phiên quản trị, di động ≤ 5'; phần mềm nghiệp vụ dữ liệu quan trọng ≤ 15'</t>
        </is>
      </c>
      <c r="E77" s="11" t="inlineStr"/>
      <c r="F77" s="7" t="inlineStr">
        <is>
          <t>GPO/MDM/cấu hình timeout</t>
        </is>
      </c>
      <c r="G77" s="7" t="inlineStr"/>
      <c r="H77" s="11" t="inlineStr"/>
      <c r="I77" s="11" t="inlineStr"/>
    </row>
    <row r="78">
      <c r="A78" s="7" t="inlineStr">
        <is>
          <t>6.5</t>
        </is>
      </c>
      <c r="B78" s="7" t="inlineStr">
        <is>
          <t>Cấu hình an toàn phần cứng, phần mềm</t>
        </is>
      </c>
      <c r="C78" s="7" t="inlineStr">
        <is>
          <t>6.5.2.2 a)</t>
        </is>
      </c>
      <c r="D78" s="7" t="inlineStr">
        <is>
          <t>Khóa khi đăng nhập sai — gợi ý: laptop, điện thoại ≤ 10 lần; phần mềm nghiệp vụ dữ liệu quan trọng ≤ 5 lần; khóa 12 giờ–30 ngày</t>
        </is>
      </c>
      <c r="E78" s="11" t="inlineStr"/>
      <c r="F78" s="7" t="inlineStr">
        <is>
          <t>Cấu hình lockout</t>
        </is>
      </c>
      <c r="G78" s="7" t="inlineStr"/>
      <c r="H78" s="11" t="inlineStr"/>
      <c r="I78" s="11" t="inlineStr"/>
    </row>
    <row r="79">
      <c r="A79" s="7" t="inlineStr">
        <is>
          <t>6.5</t>
        </is>
      </c>
      <c r="B79" s="7" t="inlineStr">
        <is>
          <t>Cấu hình an toàn phần cứng, phần mềm</t>
        </is>
      </c>
      <c r="C79" s="7" t="inlineStr">
        <is>
          <t>6.5.2.2 b)</t>
        </is>
      </c>
      <c r="D79" s="7" t="inlineStr">
        <is>
          <t>Có cơ chế mở khóa khẩn cấp cho quản trị viên/tài khoản đặc quyền</t>
        </is>
      </c>
      <c r="E79" s="11" t="inlineStr"/>
      <c r="F79" s="7" t="inlineStr">
        <is>
          <t>Quy trình break-glass</t>
        </is>
      </c>
      <c r="G79" s="7" t="inlineStr"/>
      <c r="H79" s="11" t="inlineStr"/>
      <c r="I79" s="11" t="inlineStr"/>
    </row>
    <row r="80">
      <c r="A80" s="7" t="inlineStr">
        <is>
          <t>6.5</t>
        </is>
      </c>
      <c r="B80" s="7" t="inlineStr">
        <is>
          <t>Cấu hình an toàn phần cứng, phần mềm</t>
        </is>
      </c>
      <c r="C80" s="7" t="inlineStr">
        <is>
          <t>6.5.2.3</t>
        </is>
      </c>
      <c r="D80" s="7" t="inlineStr">
        <is>
          <t>Quy định gỡ bỏ/tắt tính năng, dịch vụ không cần thiết</t>
        </is>
      </c>
      <c r="E80" s="11" t="inlineStr"/>
      <c r="F80" s="7" t="inlineStr">
        <is>
          <t>Quy định + checklist</t>
        </is>
      </c>
      <c r="G80" s="7" t="inlineStr">
        <is>
          <t>Mới/khác so với cấp 3</t>
        </is>
      </c>
      <c r="H80" s="11" t="inlineStr"/>
      <c r="I80" s="11" t="inlineStr"/>
    </row>
    <row r="81">
      <c r="A81" s="7" t="inlineStr">
        <is>
          <t>6.5</t>
        </is>
      </c>
      <c r="B81" s="7" t="inlineStr">
        <is>
          <t>Cấu hình an toàn phần cứng, phần mềm</t>
        </is>
      </c>
      <c r="C81" s="7" t="inlineStr">
        <is>
          <t>6.5.2.4</t>
        </is>
      </c>
      <c r="D81" s="7" t="inlineStr">
        <is>
          <t>Cấu hình máy chủ DNS tin cậy trên thiết bị (nếu có)</t>
        </is>
      </c>
      <c r="E81" s="11" t="inlineStr"/>
      <c r="F81" s="7" t="inlineStr">
        <is>
          <t>Cấu hình DNS</t>
        </is>
      </c>
      <c r="G81" s="7" t="inlineStr">
        <is>
          <t>Mới/khác so với cấp 3</t>
        </is>
      </c>
      <c r="H81" s="11" t="inlineStr"/>
      <c r="I81" s="11" t="inlineStr"/>
    </row>
    <row r="82">
      <c r="A82" s="7" t="inlineStr">
        <is>
          <t>6.5</t>
        </is>
      </c>
      <c r="B82" s="7" t="inlineStr">
        <is>
          <t>Cấu hình an toàn phần cứng, phần mềm</t>
        </is>
      </c>
      <c r="C82" s="7" t="inlineStr">
        <is>
          <t>6.5.2.5</t>
        </is>
      </c>
      <c r="D82" s="7" t="inlineStr">
        <is>
          <t>Xóa được dữ liệu từ xa trên điện thoại, máy tính bảng do tổ chức cấp</t>
        </is>
      </c>
      <c r="E82" s="11" t="inlineStr"/>
      <c r="F82" s="7" t="inlineStr">
        <is>
          <t>Hồ sơ MDM (remote wipe)</t>
        </is>
      </c>
      <c r="G82" s="7" t="inlineStr">
        <is>
          <t>Mới/khác so với cấp 3</t>
        </is>
      </c>
      <c r="H82" s="11" t="inlineStr"/>
      <c r="I82" s="11" t="inlineStr"/>
    </row>
    <row r="83">
      <c r="A83" s="7" t="inlineStr">
        <is>
          <t>6.5</t>
        </is>
      </c>
      <c r="B83" s="7" t="inlineStr">
        <is>
          <t>Cấu hình an toàn phần cứng, phần mềm</t>
        </is>
      </c>
      <c r="C83" s="7" t="inlineStr">
        <is>
          <t>6.5.2.6</t>
        </is>
      </c>
      <c r="D83" s="7" t="inlineStr">
        <is>
          <t>Quy định tách không gian làm việc riêng trên thiết bị di động cấp phát</t>
        </is>
      </c>
      <c r="E83" s="11" t="inlineStr"/>
      <c r="F83" s="7" t="inlineStr">
        <is>
          <t>Quy định, cấu hình work profile</t>
        </is>
      </c>
      <c r="G83" s="7" t="inlineStr">
        <is>
          <t>Mới/khác so với cấp 3</t>
        </is>
      </c>
      <c r="H83" s="11" t="inlineStr"/>
      <c r="I83" s="11" t="inlineStr"/>
    </row>
    <row r="84">
      <c r="A84" s="7" t="inlineStr">
        <is>
          <t>6.6</t>
        </is>
      </c>
      <c r="B84" s="7" t="inlineStr">
        <is>
          <t>Quản lý tài khoản và quyền truy cập</t>
        </is>
      </c>
      <c r="C84" s="7" t="inlineStr">
        <is>
          <t>6.6.1 a)</t>
        </is>
      </c>
      <c r="D84" s="7" t="inlineStr">
        <is>
          <t>Quy trình, công cụ cấp/thu hồi quyền cho 4 loại tài khoản (quản trị, tác nghiệp, kỹ thuật, dịch vụ) theo vai trò</t>
        </is>
      </c>
      <c r="E84" s="11" t="inlineStr"/>
      <c r="F84" s="7" t="inlineStr">
        <is>
          <t>Quy trình quản lý tài khoản</t>
        </is>
      </c>
      <c r="G84" s="7" t="inlineStr"/>
      <c r="H84" s="11" t="inlineStr"/>
      <c r="I84" s="11" t="inlineStr"/>
    </row>
    <row r="85">
      <c r="A85" s="7" t="inlineStr">
        <is>
          <t>6.6</t>
        </is>
      </c>
      <c r="B85" s="7" t="inlineStr">
        <is>
          <t>Quản lý tài khoản và quyền truy cập</t>
        </is>
      </c>
      <c r="C85" s="7" t="inlineStr">
        <is>
          <t>6.6.1 c)</t>
        </is>
      </c>
      <c r="D85" s="7" t="inlineStr">
        <is>
          <t>Ghi log và giám sát hoạt động của tài khoản người dùng</t>
        </is>
      </c>
      <c r="E85" s="11" t="inlineStr"/>
      <c r="F85" s="7" t="inlineStr">
        <is>
          <t>Cấu hình audit log đăng nhập</t>
        </is>
      </c>
      <c r="G85" s="7" t="inlineStr"/>
      <c r="H85" s="11" t="inlineStr"/>
      <c r="I85" s="11" t="inlineStr"/>
    </row>
    <row r="86">
      <c r="A86" s="7" t="inlineStr">
        <is>
          <t>6.6</t>
        </is>
      </c>
      <c r="B86" s="7" t="inlineStr">
        <is>
          <t>Quản lý tài khoản và quyền truy cập</t>
        </is>
      </c>
      <c r="C86" s="7" t="inlineStr">
        <is>
          <t>6.6.2.1 a)</t>
        </is>
      </c>
      <c r="D86" s="7" t="inlineStr">
        <is>
          <t>Danh sách mọi tài khoản trên phần cứng và phần mềm</t>
        </is>
      </c>
      <c r="E86" s="11" t="inlineStr"/>
      <c r="F86" s="7" t="inlineStr">
        <is>
          <t>Danh sách tài khoản</t>
        </is>
      </c>
      <c r="G86" s="7" t="inlineStr"/>
      <c r="H86" s="11" t="inlineStr"/>
      <c r="I86" s="11" t="inlineStr"/>
    </row>
    <row r="87">
      <c r="A87" s="7" t="inlineStr">
        <is>
          <t>6.6</t>
        </is>
      </c>
      <c r="B87" s="7" t="inlineStr">
        <is>
          <t>Quản lý tài khoản và quyền truy cập</t>
        </is>
      </c>
      <c r="C87" s="7" t="inlineStr">
        <is>
          <t>6.6.2.1 b)</t>
        </is>
      </c>
      <c r="D87" s="7" t="inlineStr">
        <is>
          <t>Danh sách gồm tối thiểu: tài khoản quản trị, tác nghiệp, kỹ thuật</t>
        </is>
      </c>
      <c r="E87" s="11" t="inlineStr"/>
      <c r="F87" s="7" t="inlineStr">
        <is>
          <t>Danh sách tài khoản phân loại</t>
        </is>
      </c>
      <c r="G87" s="7" t="inlineStr"/>
      <c r="H87" s="11" t="inlineStr"/>
      <c r="I87" s="11" t="inlineStr"/>
    </row>
    <row r="88">
      <c r="A88" s="7" t="inlineStr">
        <is>
          <t>6.6</t>
        </is>
      </c>
      <c r="B88" s="7" t="inlineStr">
        <is>
          <t>Quản lý tài khoản và quyền truy cập</t>
        </is>
      </c>
      <c r="C88" s="7" t="inlineStr">
        <is>
          <t>6.6.2.1 c)</t>
        </is>
      </c>
      <c r="D88" s="7" t="inlineStr">
        <is>
          <t>Trường tối thiểu: loại, tên, trạng thái, hệ thống, người quản lý, phòng ban, ngày kích hoạt/vô hiệu; không còn tài khoản không hợp lệ</t>
        </is>
      </c>
      <c r="E88" s="11" t="inlineStr"/>
      <c r="F88" s="7" t="inlineStr">
        <is>
          <t>Danh sách có đủ trường</t>
        </is>
      </c>
      <c r="G88" s="7" t="inlineStr"/>
      <c r="H88" s="11" t="inlineStr"/>
      <c r="I88" s="11" t="inlineStr"/>
    </row>
    <row r="89">
      <c r="A89" s="7" t="inlineStr">
        <is>
          <t>6.6</t>
        </is>
      </c>
      <c r="B89" s="7" t="inlineStr">
        <is>
          <t>Quản lý tài khoản và quyền truy cập</t>
        </is>
      </c>
      <c r="C89" s="7" t="inlineStr">
        <is>
          <t>6.6.2.1 d)</t>
        </is>
      </c>
      <c r="D89" s="7" t="inlineStr">
        <is>
          <t>Rà soát danh sách tài khoản 1 lần/quý</t>
        </is>
      </c>
      <c r="E89" s="11" t="inlineStr"/>
      <c r="F89" s="7" t="inlineStr">
        <is>
          <t>Biên bản rà soát</t>
        </is>
      </c>
      <c r="G89" s="7" t="inlineStr">
        <is>
          <t>Mới/khác so với cấp 3</t>
        </is>
      </c>
      <c r="H89" s="11" t="inlineStr"/>
      <c r="I89" s="11" t="inlineStr"/>
    </row>
    <row r="90">
      <c r="A90" s="7" t="inlineStr">
        <is>
          <t>6.6</t>
        </is>
      </c>
      <c r="B90" s="7" t="inlineStr">
        <is>
          <t>Quản lý tài khoản và quyền truy cập</t>
        </is>
      </c>
      <c r="C90" s="7" t="inlineStr">
        <is>
          <t>6.6.2.2 a)</t>
        </is>
      </c>
      <c r="D90" s="7" t="inlineStr">
        <is>
          <t>Cấu hình bắt đổi mật khẩu mặc định; quy tắc độ dài, loại ký tự; thời hạn đổi và thời hạn hiệu lực mật khẩu</t>
        </is>
      </c>
      <c r="E90" s="11" t="inlineStr"/>
      <c r="F90" s="7" t="inlineStr">
        <is>
          <t>Chính sách mật khẩu (GPO/IdP)</t>
        </is>
      </c>
      <c r="G90" s="7" t="inlineStr"/>
      <c r="H90" s="11" t="inlineStr"/>
      <c r="I90" s="11" t="inlineStr"/>
    </row>
    <row r="91">
      <c r="A91" s="7" t="inlineStr">
        <is>
          <t>6.6</t>
        </is>
      </c>
      <c r="B91" s="7" t="inlineStr">
        <is>
          <t>Quản lý tài khoản và quyền truy cập</t>
        </is>
      </c>
      <c r="C91" s="7" t="inlineStr">
        <is>
          <t>6.6.2.2 b)</t>
        </is>
      </c>
      <c r="D91" s="7" t="inlineStr">
        <is>
          <t>Gợi ý: mật khẩu riêng cho từng tài sản hoặc xác thực tập trung; bắt đổi ở lần đăng nhập đầu</t>
        </is>
      </c>
      <c r="E91" s="11" t="inlineStr"/>
      <c r="F91" s="7" t="inlineStr">
        <is>
          <t>Cấu hình IdP/SSO</t>
        </is>
      </c>
      <c r="G91" s="7" t="inlineStr"/>
      <c r="H91" s="11" t="inlineStr"/>
      <c r="I91" s="11" t="inlineStr"/>
    </row>
    <row r="92">
      <c r="A92" s="7" t="inlineStr">
        <is>
          <t>6.6</t>
        </is>
      </c>
      <c r="B92" s="7" t="inlineStr">
        <is>
          <t>Quản lý tài khoản và quyền truy cập</t>
        </is>
      </c>
      <c r="C92" s="7" t="inlineStr">
        <is>
          <t>6.6.2.2 b)</t>
        </is>
      </c>
      <c r="D92" s="7" t="inlineStr">
        <is>
          <t>Gợi ý độ dài: ≥ 8 ký tự nếu có MFA; ≥ 14 ký tự gồm đủ 4 loại ký tự nếu không có MFA</t>
        </is>
      </c>
      <c r="E92" s="11" t="inlineStr"/>
      <c r="F92" s="7" t="inlineStr">
        <is>
          <t>Chính sách mật khẩu</t>
        </is>
      </c>
      <c r="G92" s="7" t="inlineStr"/>
      <c r="H92" s="11" t="inlineStr"/>
      <c r="I92" s="11" t="inlineStr"/>
    </row>
    <row r="93">
      <c r="A93" s="7" t="inlineStr">
        <is>
          <t>6.6</t>
        </is>
      </c>
      <c r="B93" s="7" t="inlineStr">
        <is>
          <t>Quản lý tài khoản và quyền truy cập</t>
        </is>
      </c>
      <c r="C93" s="7" t="inlineStr">
        <is>
          <t>6.6.2.2 b)</t>
        </is>
      </c>
      <c r="D93" s="7" t="inlineStr">
        <is>
          <t>Tài khoản quản trị: bật MFA, đổi mật khẩu 2 tháng/lần, không dùng lại 10 mật khẩu gần nhất</t>
        </is>
      </c>
      <c r="E93" s="11" t="inlineStr"/>
      <c r="F93" s="7" t="inlineStr">
        <is>
          <t>Cấu hình MFA/lịch sử mật khẩu</t>
        </is>
      </c>
      <c r="G93" s="7" t="inlineStr"/>
      <c r="H93" s="11" t="inlineStr"/>
      <c r="I93" s="11" t="inlineStr"/>
    </row>
    <row r="94">
      <c r="A94" s="7" t="inlineStr">
        <is>
          <t>6.6</t>
        </is>
      </c>
      <c r="B94" s="7" t="inlineStr">
        <is>
          <t>Quản lý tài khoản và quyền truy cập</t>
        </is>
      </c>
      <c r="C94" s="7" t="inlineStr">
        <is>
          <t>6.6.2.3</t>
        </is>
      </c>
      <c r="D94" s="7" t="inlineStr">
        <is>
          <t>Dùng giải pháp PAM (hoặc tương đương) quản lý tài khoản đặc quyền</t>
        </is>
      </c>
      <c r="E94" s="11" t="inlineStr"/>
      <c r="F94" s="7" t="inlineStr">
        <is>
          <t>Hồ sơ PAM</t>
        </is>
      </c>
      <c r="G94" s="7" t="inlineStr">
        <is>
          <t>Mới/khác so với cấp 3</t>
        </is>
      </c>
      <c r="H94" s="11" t="inlineStr"/>
      <c r="I94" s="11" t="inlineStr"/>
    </row>
    <row r="95">
      <c r="A95" s="7" t="inlineStr">
        <is>
          <t>6.6</t>
        </is>
      </c>
      <c r="B95" s="7" t="inlineStr">
        <is>
          <t>Quản lý tài khoản và quyền truy cập</t>
        </is>
      </c>
      <c r="C95" s="7" t="inlineStr">
        <is>
          <t>6.6.2.3</t>
        </is>
      </c>
      <c r="D95" s="7" t="inlineStr">
        <is>
          <t>Quản lý tài khoản tập trung</t>
        </is>
      </c>
      <c r="E95" s="11" t="inlineStr"/>
      <c r="F95" s="7" t="inlineStr">
        <is>
          <t>Hồ sơ IdP/AD/LDAP</t>
        </is>
      </c>
      <c r="G95" s="7" t="inlineStr"/>
      <c r="H95" s="11" t="inlineStr"/>
      <c r="I95" s="11" t="inlineStr"/>
    </row>
    <row r="96">
      <c r="A96" s="7" t="inlineStr">
        <is>
          <t>6.6</t>
        </is>
      </c>
      <c r="B96" s="7" t="inlineStr">
        <is>
          <t>Quản lý tài khoản và quyền truy cập</t>
        </is>
      </c>
      <c r="C96" s="7" t="inlineStr">
        <is>
          <t>6.6.2.3</t>
        </is>
      </c>
      <c r="D96" s="7" t="inlineStr">
        <is>
          <t>Đổi hoặc vô hiệu hóa tài khoản mặc định (root, administrator, tài khoản cài sẵn của hãng)</t>
        </is>
      </c>
      <c r="E96" s="11" t="inlineStr"/>
      <c r="F96" s="7" t="inlineStr">
        <is>
          <t>Danh sách tài khoản mặc định đã xử lý</t>
        </is>
      </c>
      <c r="G96" s="7" t="inlineStr"/>
      <c r="H96" s="11" t="inlineStr"/>
      <c r="I96" s="11" t="inlineStr"/>
    </row>
    <row r="97">
      <c r="A97" s="7" t="inlineStr">
        <is>
          <t>6.6</t>
        </is>
      </c>
      <c r="B97" s="7" t="inlineStr">
        <is>
          <t>Quản lý tài khoản và quyền truy cập</t>
        </is>
      </c>
      <c r="C97" s="7" t="inlineStr">
        <is>
          <t>6.6.2.3</t>
        </is>
      </c>
      <c r="D97" s="7" t="inlineStr">
        <is>
          <t>Tách biệt quản lý 4 loại tài khoản</t>
        </is>
      </c>
      <c r="E97" s="11" t="inlineStr"/>
      <c r="F97" s="7" t="inlineStr">
        <is>
          <t>Quy định + danh sách phân loại</t>
        </is>
      </c>
      <c r="G97" s="7" t="inlineStr"/>
      <c r="H97" s="11" t="inlineStr"/>
      <c r="I97" s="11" t="inlineStr"/>
    </row>
    <row r="98">
      <c r="A98" s="7" t="inlineStr">
        <is>
          <t>6.6</t>
        </is>
      </c>
      <c r="B98" s="7" t="inlineStr">
        <is>
          <t>Quản lý tài khoản và quyền truy cập</t>
        </is>
      </c>
      <c r="C98" s="7" t="inlineStr">
        <is>
          <t>6.6.2.3</t>
        </is>
      </c>
      <c r="D98" s="7" t="inlineStr">
        <is>
          <t>Mỗi tài khoản gắn một người; dùng chung phải được phê duyệt và truy vết được người dùng từng thời điểm</t>
        </is>
      </c>
      <c r="E98" s="11" t="inlineStr"/>
      <c r="F98" s="7" t="inlineStr">
        <is>
          <t>Phê duyệt tài khoản dùng chung, sổ theo dõi</t>
        </is>
      </c>
      <c r="G98" s="7" t="inlineStr"/>
      <c r="H98" s="11" t="inlineStr"/>
      <c r="I98" s="11" t="inlineStr"/>
    </row>
    <row r="99">
      <c r="A99" s="7" t="inlineStr">
        <is>
          <t>6.6</t>
        </is>
      </c>
      <c r="B99" s="7" t="inlineStr">
        <is>
          <t>Quản lý tài khoản và quyền truy cập</t>
        </is>
      </c>
      <c r="C99" s="7" t="inlineStr">
        <is>
          <t>6.6.2.3</t>
        </is>
      </c>
      <c r="D99" s="7" t="inlineStr">
        <is>
          <t>Quy định quản lý thiết bị lưu khóa bí mật (token) và khóa bí mật</t>
        </is>
      </c>
      <c r="E99" s="11" t="inlineStr"/>
      <c r="F99" s="7" t="inlineStr">
        <is>
          <t>Quy định quản lý token</t>
        </is>
      </c>
      <c r="G99" s="7" t="inlineStr">
        <is>
          <t>Mới/khác so với cấp 3</t>
        </is>
      </c>
      <c r="H99" s="11" t="inlineStr"/>
      <c r="I99" s="11" t="inlineStr"/>
    </row>
    <row r="100">
      <c r="A100" s="7" t="inlineStr">
        <is>
          <t>6.6</t>
        </is>
      </c>
      <c r="B100" s="7" t="inlineStr">
        <is>
          <t>Quản lý tài khoản và quyền truy cập</t>
        </is>
      </c>
      <c r="C100" s="7" t="inlineStr">
        <is>
          <t>6.6.2.3</t>
        </is>
      </c>
      <c r="D100" s="7" t="inlineStr">
        <is>
          <t>Xóa/vô hiệu hóa tài khoản không hoạt động quá 45 ngày hoặc ngay khi đổi nhân sự</t>
        </is>
      </c>
      <c r="E100" s="11" t="inlineStr"/>
      <c r="F100" s="7" t="inlineStr">
        <is>
          <t>Báo cáo tài khoản inactive</t>
        </is>
      </c>
      <c r="G100" s="7" t="inlineStr"/>
      <c r="H100" s="11" t="inlineStr"/>
      <c r="I100" s="11" t="inlineStr"/>
    </row>
    <row r="101">
      <c r="A101" s="7" t="inlineStr">
        <is>
          <t>6.6</t>
        </is>
      </c>
      <c r="B101" s="7" t="inlineStr">
        <is>
          <t>Quản lý tài khoản và quyền truy cập</t>
        </is>
      </c>
      <c r="C101" s="7" t="inlineStr">
        <is>
          <t>6.6.2.3</t>
        </is>
      </c>
      <c r="D101" s="7" t="inlineStr">
        <is>
          <t>Rà soát quy định quản lý tài khoản ≥ 1 lần/năm hoặc khi thay đổi</t>
        </is>
      </c>
      <c r="E101" s="11" t="inlineStr"/>
      <c r="F101" s="7" t="inlineStr">
        <is>
          <t>Lịch sử phiên bản</t>
        </is>
      </c>
      <c r="G101" s="7" t="inlineStr"/>
      <c r="H101" s="11" t="inlineStr"/>
      <c r="I101" s="11" t="inlineStr"/>
    </row>
    <row r="102">
      <c r="A102" s="7" t="inlineStr">
        <is>
          <t>6.6</t>
        </is>
      </c>
      <c r="B102" s="7" t="inlineStr">
        <is>
          <t>Quản lý tài khoản và quyền truy cập</t>
        </is>
      </c>
      <c r="C102" s="7" t="inlineStr">
        <is>
          <t>6.6.2.4</t>
        </is>
      </c>
      <c r="D102" s="7" t="inlineStr">
        <is>
          <t>Áp dụng đặc quyền tối thiểu và phân tách nhiệm vụ cho mọi loại tài khoản</t>
        </is>
      </c>
      <c r="E102" s="11" t="inlineStr"/>
      <c r="F102" s="7" t="inlineStr">
        <is>
          <t>Ma trận vai trò – quyền</t>
        </is>
      </c>
      <c r="G102" s="7" t="inlineStr"/>
      <c r="H102" s="11" t="inlineStr"/>
      <c r="I102" s="11" t="inlineStr"/>
    </row>
    <row r="103">
      <c r="A103" s="7" t="inlineStr">
        <is>
          <t>6.6</t>
        </is>
      </c>
      <c r="B103" s="7" t="inlineStr">
        <is>
          <t>Quản lý tài khoản và quyền truy cập</t>
        </is>
      </c>
      <c r="C103" s="7" t="inlineStr">
        <is>
          <t>6.6.2.4</t>
        </is>
      </c>
      <c r="D103" s="7" t="inlineStr">
        <is>
          <t>Tài liệu hóa quyền cần thiết theo chức danh, bộ phận</t>
        </is>
      </c>
      <c r="E103" s="11" t="inlineStr"/>
      <c r="F103" s="7" t="inlineStr">
        <is>
          <t>Ma trận quyền theo chức danh</t>
        </is>
      </c>
      <c r="G103" s="7" t="inlineStr"/>
      <c r="H103" s="11" t="inlineStr"/>
      <c r="I103" s="11" t="inlineStr"/>
    </row>
    <row r="104">
      <c r="A104" s="7" t="inlineStr">
        <is>
          <t>6.6</t>
        </is>
      </c>
      <c r="B104" s="7" t="inlineStr">
        <is>
          <t>Quản lý tài khoản và quyền truy cập</t>
        </is>
      </c>
      <c r="C104" s="7" t="inlineStr">
        <is>
          <t>6.6.2.4</t>
        </is>
      </c>
      <c r="D104" s="7" t="inlineStr">
        <is>
          <t>MFA cho truy cập từ ngoài tổ chức, từ đối tác/bên thứ ba, từ Internet và cho tài khoản quản trị</t>
        </is>
      </c>
      <c r="E104" s="11" t="inlineStr"/>
      <c r="F104" s="7" t="inlineStr">
        <is>
          <t>Cấu hình MFA</t>
        </is>
      </c>
      <c r="G104" s="7" t="inlineStr"/>
      <c r="H104" s="11" t="inlineStr"/>
      <c r="I104" s="11" t="inlineStr"/>
    </row>
    <row r="105">
      <c r="A105" s="7" t="inlineStr">
        <is>
          <t>6.6</t>
        </is>
      </c>
      <c r="B105" s="7" t="inlineStr">
        <is>
          <t>Quản lý tài khoản và quyền truy cập</t>
        </is>
      </c>
      <c r="C105" s="7" t="inlineStr">
        <is>
          <t>6.6.2.4</t>
        </is>
      </c>
      <c r="D105" s="7" t="inlineStr">
        <is>
          <t>Rà soát quy định quản lý truy cập ≥ 1 lần/năm hoặc khi thay đổi</t>
        </is>
      </c>
      <c r="E105" s="11" t="inlineStr"/>
      <c r="F105" s="7" t="inlineStr">
        <is>
          <t>Lịch sử phiên bản</t>
        </is>
      </c>
      <c r="G105" s="7" t="inlineStr"/>
      <c r="H105" s="11" t="inlineStr"/>
      <c r="I105" s="11" t="inlineStr"/>
    </row>
    <row r="106">
      <c r="A106" s="7" t="inlineStr">
        <is>
          <t>6.6</t>
        </is>
      </c>
      <c r="B106" s="7" t="inlineStr">
        <is>
          <t>Quản lý tài khoản và quyền truy cập</t>
        </is>
      </c>
      <c r="C106" s="7" t="inlineStr">
        <is>
          <t>6.6.2.5 a)</t>
        </is>
      </c>
      <c r="D106" s="7" t="inlineStr">
        <is>
          <t>Quy trình cấp mới, thay đổi, thu hồi quyền truy cập tài sản CNTT</t>
        </is>
      </c>
      <c r="E106" s="11" t="inlineStr"/>
      <c r="F106" s="7" t="inlineStr">
        <is>
          <t>Quy trình + phiếu yêu cầu</t>
        </is>
      </c>
      <c r="G106" s="7" t="inlineStr">
        <is>
          <t>Mới/khác so với cấp 3</t>
        </is>
      </c>
      <c r="H106" s="11" t="inlineStr"/>
      <c r="I106" s="11" t="inlineStr"/>
    </row>
    <row r="107">
      <c r="A107" s="7" t="inlineStr">
        <is>
          <t>6.6</t>
        </is>
      </c>
      <c r="B107" s="7" t="inlineStr">
        <is>
          <t>Quản lý tài khoản và quyền truy cập</t>
        </is>
      </c>
      <c r="C107" s="7" t="inlineStr">
        <is>
          <t>6.6.2.5 b)</t>
        </is>
      </c>
      <c r="D107" s="7" t="inlineStr">
        <is>
          <t>Rà soát quy trình và việc cấp quyền ≥ 1 lần/năm</t>
        </is>
      </c>
      <c r="E107" s="11" t="inlineStr"/>
      <c r="F107" s="7" t="inlineStr">
        <is>
          <t>Biên bản rà soát</t>
        </is>
      </c>
      <c r="G107" s="7" t="inlineStr">
        <is>
          <t>Mới/khác so với cấp 3</t>
        </is>
      </c>
      <c r="H107" s="11" t="inlineStr"/>
      <c r="I107" s="11" t="inlineStr"/>
    </row>
    <row r="108">
      <c r="A108" s="7" t="inlineStr">
        <is>
          <t>6.7</t>
        </is>
      </c>
      <c r="B108" s="7" t="inlineStr">
        <is>
          <t>Quản lý lỗ hổng bảo mật</t>
        </is>
      </c>
      <c r="C108" s="7" t="inlineStr">
        <is>
          <t>6.7.1 b)</t>
        </is>
      </c>
      <c r="D108" s="7" t="inlineStr">
        <is>
          <t>Theo dõi thông tin mối đe dọa, lỗ hổng mới từ nhiều nguồn</t>
        </is>
      </c>
      <c r="E108" s="11" t="inlineStr"/>
      <c r="F108" s="7" t="inlineStr">
        <is>
          <t>Nguồn tin đăng ký (NCSC, CVE, hãng…)</t>
        </is>
      </c>
      <c r="G108" s="7" t="inlineStr"/>
      <c r="H108" s="11" t="inlineStr"/>
      <c r="I108" s="11" t="inlineStr"/>
    </row>
    <row r="109">
      <c r="A109" s="7" t="inlineStr">
        <is>
          <t>6.7</t>
        </is>
      </c>
      <c r="B109" s="7" t="inlineStr">
        <is>
          <t>Quản lý lỗ hổng bảo mật</t>
        </is>
      </c>
      <c r="C109" s="7" t="inlineStr">
        <is>
          <t>6.7.2.1 a)</t>
        </is>
      </c>
      <c r="D109" s="7" t="inlineStr">
        <is>
          <t>Quy trình quản lý lỗ hổng: rà quét phát hiện, chấm mức nghiêm trọng, chia sẻ/tiếp nhận báo cáo, khắc phục theo ưu tiên và kiểm tra lại</t>
        </is>
      </c>
      <c r="E109" s="11" t="inlineStr"/>
      <c r="F109" s="7" t="inlineStr">
        <is>
          <t>Quy trình quản lý lỗ hổng</t>
        </is>
      </c>
      <c r="G109" s="7" t="inlineStr"/>
      <c r="H109" s="11" t="inlineStr"/>
      <c r="I109" s="11" t="inlineStr"/>
    </row>
    <row r="110">
      <c r="A110" s="7" t="inlineStr">
        <is>
          <t>6.7</t>
        </is>
      </c>
      <c r="B110" s="7" t="inlineStr">
        <is>
          <t>Quản lý lỗ hổng bảo mật</t>
        </is>
      </c>
      <c r="C110" s="7" t="inlineStr">
        <is>
          <t>6.7.2.1 a)</t>
        </is>
      </c>
      <c r="D110" s="7" t="inlineStr">
        <is>
          <t>Rà quét tổng thể ≥ 1 lần/6 tháng; tài sản quan trọng ≥ 1 lần/quý</t>
        </is>
      </c>
      <c r="E110" s="11" t="inlineStr"/>
      <c r="F110" s="7" t="inlineStr">
        <is>
          <t>Báo cáo rà quét theo kỳ</t>
        </is>
      </c>
      <c r="G110" s="7" t="inlineStr">
        <is>
          <t>Mới/khác so với cấp 3</t>
        </is>
      </c>
      <c r="H110" s="11" t="inlineStr"/>
      <c r="I110" s="11" t="inlineStr"/>
    </row>
    <row r="111">
      <c r="A111" s="7" t="inlineStr">
        <is>
          <t>6.7</t>
        </is>
      </c>
      <c r="B111" s="7" t="inlineStr">
        <is>
          <t>Quản lý lỗ hổng bảo mật</t>
        </is>
      </c>
      <c r="C111" s="7" t="inlineStr">
        <is>
          <t>6.7.2.1 b)</t>
        </is>
      </c>
      <c r="D111" s="7" t="inlineStr">
        <is>
          <t>Rà soát quy trình và thực hiện rà quét lỗ hổng ≥ 1 lần/6 tháng hoặc khi thay đổi</t>
        </is>
      </c>
      <c r="E111" s="11" t="inlineStr"/>
      <c r="F111" s="7" t="inlineStr">
        <is>
          <t>Báo cáo rà quét, biên bản rà soát</t>
        </is>
      </c>
      <c r="G111" s="7" t="inlineStr"/>
      <c r="H111" s="11" t="inlineStr"/>
      <c r="I111" s="11" t="inlineStr"/>
    </row>
    <row r="112">
      <c r="A112" s="7" t="inlineStr">
        <is>
          <t>6.7</t>
        </is>
      </c>
      <c r="B112" s="7" t="inlineStr">
        <is>
          <t>Quản lý lỗ hổng bảo mật</t>
        </is>
      </c>
      <c r="C112" s="7" t="inlineStr">
        <is>
          <t>6.7.2.2</t>
        </is>
      </c>
      <c r="D112" s="7" t="inlineStr">
        <is>
          <t>Có máy chủ quản lý bản vá tập trung cho toàn bộ tài sản</t>
        </is>
      </c>
      <c r="E112" s="11" t="inlineStr"/>
      <c r="F112" s="7" t="inlineStr">
        <is>
          <t>Hồ sơ WSUS/SCCM/tương đương</t>
        </is>
      </c>
      <c r="G112" s="7" t="inlineStr"/>
      <c r="H112" s="11" t="inlineStr"/>
      <c r="I112" s="11" t="inlineStr"/>
    </row>
    <row r="113">
      <c r="A113" s="7" t="inlineStr">
        <is>
          <t>6.7</t>
        </is>
      </c>
      <c r="B113" s="7" t="inlineStr">
        <is>
          <t>Quản lý lỗ hổng bảo mật</t>
        </is>
      </c>
      <c r="C113" s="7" t="inlineStr">
        <is>
          <t>6.7.2.2</t>
        </is>
      </c>
      <c r="D113" s="7" t="inlineStr">
        <is>
          <t>Trước khi vá hệ thống có dữ liệu quan trọng: đánh giá tác động, thử nghiệm, có phương án khôi phục</t>
        </is>
      </c>
      <c r="E113" s="11" t="inlineStr"/>
      <c r="F113" s="7" t="inlineStr">
        <is>
          <t>Biên bản thử nghiệm bản vá</t>
        </is>
      </c>
      <c r="G113" s="7" t="inlineStr"/>
      <c r="H113" s="11" t="inlineStr"/>
      <c r="I113" s="11" t="inlineStr"/>
    </row>
    <row r="114">
      <c r="A114" s="7" t="inlineStr">
        <is>
          <t>6.7</t>
        </is>
      </c>
      <c r="B114" s="7" t="inlineStr">
        <is>
          <t>Quản lý lỗ hổng bảo mật</t>
        </is>
      </c>
      <c r="C114" s="7" t="inlineStr">
        <is>
          <t>6.7.2.2</t>
        </is>
      </c>
      <c r="D114" s="7" t="inlineStr">
        <is>
          <t>Kiểm tra, cập nhật bản vá HĐH và ứng dụng cho máy tính, di động cấp cho người dùng ≥ 1 lần/tháng</t>
        </is>
      </c>
      <c r="E114" s="11" t="inlineStr"/>
      <c r="F114" s="7" t="inlineStr">
        <is>
          <t>Báo cáo tuân thủ bản vá hằng tháng</t>
        </is>
      </c>
      <c r="G114" s="7" t="inlineStr"/>
      <c r="H114" s="11" t="inlineStr"/>
      <c r="I114" s="11" t="inlineStr"/>
    </row>
    <row r="115">
      <c r="A115" s="7" t="inlineStr">
        <is>
          <t>6.7</t>
        </is>
      </c>
      <c r="B115" s="7" t="inlineStr">
        <is>
          <t>Quản lý lỗ hổng bảo mật</t>
        </is>
      </c>
      <c r="C115" s="7" t="inlineStr">
        <is>
          <t>6.7.2.2</t>
        </is>
      </c>
      <c r="D115" s="7" t="inlineStr">
        <is>
          <t>Giám sát để phát hiện lỗ hổng mới và vá kịp thời</t>
        </is>
      </c>
      <c r="E115" s="11" t="inlineStr"/>
      <c r="F115" s="7" t="inlineStr">
        <is>
          <t>Nhật ký vá</t>
        </is>
      </c>
      <c r="G115" s="7" t="inlineStr"/>
      <c r="H115" s="11" t="inlineStr"/>
      <c r="I115" s="11" t="inlineStr"/>
    </row>
    <row r="116">
      <c r="A116" s="7" t="inlineStr">
        <is>
          <t>6.8</t>
        </is>
      </c>
      <c r="B116" s="7" t="inlineStr">
        <is>
          <t>Quản lý nhật ký an ninh mạng</t>
        </is>
      </c>
      <c r="C116" s="7" t="inlineStr">
        <is>
          <t>6.8.2.1 a)</t>
        </is>
      </c>
      <c r="D116" s="7" t="inlineStr">
        <is>
          <t>Quy định quản lý log: cách ghi, thu thập, kiểm tra, lưu trữ</t>
        </is>
      </c>
      <c r="E116" s="11" t="inlineStr"/>
      <c r="F116" s="7" t="inlineStr">
        <is>
          <t>Quy định quản lý nhật ký</t>
        </is>
      </c>
      <c r="G116" s="7" t="inlineStr"/>
      <c r="H116" s="11" t="inlineStr"/>
      <c r="I116" s="11" t="inlineStr"/>
    </row>
    <row r="117">
      <c r="A117" s="7" t="inlineStr">
        <is>
          <t>6.8</t>
        </is>
      </c>
      <c r="B117" s="7" t="inlineStr">
        <is>
          <t>Quản lý nhật ký an ninh mạng</t>
        </is>
      </c>
      <c r="C117" s="7" t="inlineStr">
        <is>
          <t>6.8.2.1 a)</t>
        </is>
      </c>
      <c r="D117" s="7" t="inlineStr">
        <is>
          <t>Thu thập tối thiểu: log truy cập hệ thống, tiến trình, ứng dụng, truy cập dữ liệu, cảnh báo</t>
        </is>
      </c>
      <c r="E117" s="11" t="inlineStr"/>
      <c r="F117" s="7" t="inlineStr">
        <is>
          <t>Danh sách nguồn log</t>
        </is>
      </c>
      <c r="G117" s="7" t="inlineStr">
        <is>
          <t>Mới/khác so với cấp 3</t>
        </is>
      </c>
      <c r="H117" s="11" t="inlineStr"/>
      <c r="I117" s="11" t="inlineStr"/>
    </row>
    <row r="118">
      <c r="A118" s="7" t="inlineStr">
        <is>
          <t>6.8</t>
        </is>
      </c>
      <c r="B118" s="7" t="inlineStr">
        <is>
          <t>Quản lý nhật ký an ninh mạng</t>
        </is>
      </c>
      <c r="C118" s="7" t="inlineStr">
        <is>
          <t>6.8.2.1 a)</t>
        </is>
      </c>
      <c r="D118" s="7" t="inlineStr">
        <is>
          <t>Log truy cập có nguồn/đích (kèm MAC), tài khoản, thời điểm, hành vi; log cảnh báo đủ trường tối thiểu</t>
        </is>
      </c>
      <c r="E118" s="11" t="inlineStr"/>
      <c r="F118" s="7" t="inlineStr">
        <is>
          <t>Mẫu bản ghi log</t>
        </is>
      </c>
      <c r="G118" s="7" t="inlineStr"/>
      <c r="H118" s="11" t="inlineStr"/>
      <c r="I118" s="11" t="inlineStr"/>
    </row>
    <row r="119">
      <c r="A119" s="7" t="inlineStr">
        <is>
          <t>6.8</t>
        </is>
      </c>
      <c r="B119" s="7" t="inlineStr">
        <is>
          <t>Quản lý nhật ký an ninh mạng</t>
        </is>
      </c>
      <c r="C119" s="7" t="inlineStr">
        <is>
          <t>6.8.2.1 a)</t>
        </is>
      </c>
      <c r="D119" s="7" t="inlineStr">
        <is>
          <t>Log tiến trình có: thiết bị, tên/mã/tiến trình cha/lệnh khởi tạo, tài khoản, thời điểm</t>
        </is>
      </c>
      <c r="E119" s="11" t="inlineStr"/>
      <c r="F119" s="7" t="inlineStr">
        <is>
          <t>Mẫu log tiến trình (vd Sysmon/auditd)</t>
        </is>
      </c>
      <c r="G119" s="7" t="inlineStr"/>
      <c r="H119" s="11" t="inlineStr"/>
      <c r="I119" s="11" t="inlineStr"/>
    </row>
    <row r="120">
      <c r="A120" s="7" t="inlineStr">
        <is>
          <t>6.8</t>
        </is>
      </c>
      <c r="B120" s="7" t="inlineStr">
        <is>
          <t>Quản lý nhật ký an ninh mạng</t>
        </is>
      </c>
      <c r="C120" s="7" t="inlineStr">
        <is>
          <t>6.8.2.1 a)</t>
        </is>
      </c>
      <c r="D120" s="7" t="inlineStr">
        <is>
          <t>Log truy cập dữ liệu ghi hành động đọc/thêm/sửa/xóa/sao chép; log ứng dụng có truy cập, đăng nhập quản trị, lỗi, đổi cấu hình</t>
        </is>
      </c>
      <c r="E120" s="11" t="inlineStr"/>
      <c r="F120" s="7" t="inlineStr">
        <is>
          <t>Mẫu log ứng dụng, log dữ liệu</t>
        </is>
      </c>
      <c r="G120" s="7" t="inlineStr">
        <is>
          <t>Mới/khác so với cấp 3</t>
        </is>
      </c>
      <c r="H120" s="11" t="inlineStr"/>
      <c r="I120" s="11" t="inlineStr"/>
    </row>
    <row r="121">
      <c r="A121" s="7" t="inlineStr">
        <is>
          <t>6.8</t>
        </is>
      </c>
      <c r="B121" s="7" t="inlineStr">
        <is>
          <t>Quản lý nhật ký an ninh mạng</t>
        </is>
      </c>
      <c r="C121" s="7" t="inlineStr">
        <is>
          <t>6.8.2.1 a)</t>
        </is>
      </c>
      <c r="D121" s="7" t="inlineStr">
        <is>
          <t>Thu thập log trên toàn bộ tài sản CNTT</t>
        </is>
      </c>
      <c r="E121" s="11" t="inlineStr"/>
      <c r="F121" s="7" t="inlineStr">
        <is>
          <t>Bảng độ phủ nguồn log</t>
        </is>
      </c>
      <c r="G121" s="7" t="inlineStr">
        <is>
          <t>Mới/khác so với cấp 3</t>
        </is>
      </c>
      <c r="H121" s="11" t="inlineStr"/>
      <c r="I121" s="11" t="inlineStr"/>
    </row>
    <row r="122">
      <c r="A122" s="7" t="inlineStr">
        <is>
          <t>6.8</t>
        </is>
      </c>
      <c r="B122" s="7" t="inlineStr">
        <is>
          <t>Quản lý nhật ký an ninh mạng</t>
        </is>
      </c>
      <c r="C122" s="7" t="inlineStr">
        <is>
          <t>6.8.2.1 a)</t>
        </is>
      </c>
      <c r="D122" s="7" t="inlineStr">
        <is>
          <t>Đồng bộ thời gian qua máy chủ thời gian (NTP) cho mọi thành phần tham gia giám sát</t>
        </is>
      </c>
      <c r="E122" s="11" t="inlineStr"/>
      <c r="F122" s="7" t="inlineStr">
        <is>
          <t>Cấu hình NTP</t>
        </is>
      </c>
      <c r="G122" s="7" t="inlineStr"/>
      <c r="H122" s="11" t="inlineStr"/>
      <c r="I122" s="11" t="inlineStr"/>
    </row>
    <row r="123">
      <c r="A123" s="7" t="inlineStr">
        <is>
          <t>6.8</t>
        </is>
      </c>
      <c r="B123" s="7" t="inlineStr">
        <is>
          <t>Quản lý nhật ký an ninh mạng</t>
        </is>
      </c>
      <c r="C123" s="7" t="inlineStr">
        <is>
          <t>6.8.2.1 a)</t>
        </is>
      </c>
      <c r="D123" s="7" t="inlineStr">
        <is>
          <t>SIEM (hoặc tương đương) để quản lý, phân tích sự kiện tập trung</t>
        </is>
      </c>
      <c r="E123" s="11" t="inlineStr"/>
      <c r="F123" s="7" t="inlineStr">
        <is>
          <t>Hồ sơ SIEM</t>
        </is>
      </c>
      <c r="G123" s="7" t="inlineStr"/>
      <c r="H123" s="11" t="inlineStr"/>
      <c r="I123" s="11" t="inlineStr"/>
    </row>
    <row r="124">
      <c r="A124" s="7" t="inlineStr">
        <is>
          <t>6.8</t>
        </is>
      </c>
      <c r="B124" s="7" t="inlineStr">
        <is>
          <t>Quản lý nhật ký an ninh mạng</t>
        </is>
      </c>
      <c r="C124" s="7" t="inlineStr">
        <is>
          <t>6.8.2.1 a)</t>
        </is>
      </c>
      <c r="D124" s="7" t="inlineStr">
        <is>
          <t>Mọi đối tượng giám sát phải đẩy log về nền tảng giám sát tập trung</t>
        </is>
      </c>
      <c r="E124" s="11" t="inlineStr"/>
      <c r="F124" s="7" t="inlineStr">
        <is>
          <t>Danh sách nguồn đã kết nối</t>
        </is>
      </c>
      <c r="G124" s="7" t="inlineStr">
        <is>
          <t>Mới/khác so với cấp 3</t>
        </is>
      </c>
      <c r="H124" s="11" t="inlineStr"/>
      <c r="I124" s="11" t="inlineStr"/>
    </row>
    <row r="125">
      <c r="A125" s="7" t="inlineStr">
        <is>
          <t>6.8</t>
        </is>
      </c>
      <c r="B125" s="7" t="inlineStr">
        <is>
          <t>Quản lý nhật ký an ninh mạng</t>
        </is>
      </c>
      <c r="C125" s="7" t="inlineStr">
        <is>
          <t>6.8.2.1 a)</t>
        </is>
      </c>
      <c r="D125" s="7" t="inlineStr">
        <is>
          <t>Bảo đảm dung lượng lưu log tối thiểu 6 tháng; có cảnh báo sắp đầy dung lượng</t>
        </is>
      </c>
      <c r="E125" s="11" t="inlineStr"/>
      <c r="F125" s="7" t="inlineStr">
        <is>
          <t>Cấu hình retention, ảnh chụp dung lượng</t>
        </is>
      </c>
      <c r="G125" s="7" t="inlineStr">
        <is>
          <t>Mới/khác so với cấp 3</t>
        </is>
      </c>
      <c r="H125" s="11" t="inlineStr"/>
      <c r="I125" s="11" t="inlineStr"/>
    </row>
    <row r="126">
      <c r="A126" s="7" t="inlineStr">
        <is>
          <t>6.8</t>
        </is>
      </c>
      <c r="B126" s="7" t="inlineStr">
        <is>
          <t>Quản lý nhật ký an ninh mạng</t>
        </is>
      </c>
      <c r="C126" s="7" t="inlineStr">
        <is>
          <t>6.8.2.1 a)</t>
        </is>
      </c>
      <c r="D126" s="7" t="inlineStr">
        <is>
          <t>Rà soát log ANM ≥ 1 lần/tháng</t>
        </is>
      </c>
      <c r="E126" s="11" t="inlineStr"/>
      <c r="F126" s="7" t="inlineStr">
        <is>
          <t>Biên bản rà soát log</t>
        </is>
      </c>
      <c r="G126" s="7" t="inlineStr">
        <is>
          <t>Mới/khác so với cấp 3</t>
        </is>
      </c>
      <c r="H126" s="11" t="inlineStr"/>
      <c r="I126" s="11" t="inlineStr"/>
    </row>
    <row r="127">
      <c r="A127" s="7" t="inlineStr">
        <is>
          <t>6.8</t>
        </is>
      </c>
      <c r="B127" s="7" t="inlineStr">
        <is>
          <t>Quản lý nhật ký an ninh mạng</t>
        </is>
      </c>
      <c r="C127" s="7" t="inlineStr">
        <is>
          <t>6.8.2.1 b)</t>
        </is>
      </c>
      <c r="D127" s="7" t="inlineStr">
        <is>
          <t>Kiểm tra, cập nhật quy trình quản lý log ≥ 1 lần/năm hoặc khi thay đổi</t>
        </is>
      </c>
      <c r="E127" s="11" t="inlineStr"/>
      <c r="F127" s="7" t="inlineStr">
        <is>
          <t>Lịch sử phiên bản</t>
        </is>
      </c>
      <c r="G127" s="7" t="inlineStr"/>
      <c r="H127" s="11" t="inlineStr"/>
      <c r="I127" s="11" t="inlineStr"/>
    </row>
    <row r="128">
      <c r="A128" s="7" t="inlineStr">
        <is>
          <t>6.8</t>
        </is>
      </c>
      <c r="B128" s="7" t="inlineStr">
        <is>
          <t>Quản lý nhật ký an ninh mạng</t>
        </is>
      </c>
      <c r="C128" s="7" t="inlineStr">
        <is>
          <t>6.8.2.2</t>
        </is>
      </c>
      <c r="D128" s="7" t="inlineStr">
        <is>
          <t>Thu thập log ANM từ nhà cung cấp dịch vụ (cloud, SaaS…) mà hệ thống/tổ chức sử dụng</t>
        </is>
      </c>
      <c r="E128" s="11" t="inlineStr"/>
      <c r="F128" s="7" t="inlineStr">
        <is>
          <t>Hợp đồng/cấu hình chia sẻ log</t>
        </is>
      </c>
      <c r="G128" s="7" t="inlineStr">
        <is>
          <t>Mới/khác so với cấp 3</t>
        </is>
      </c>
      <c r="H128" s="11" t="inlineStr"/>
      <c r="I128" s="11" t="inlineStr"/>
    </row>
    <row r="129">
      <c r="A129" s="7" t="inlineStr">
        <is>
          <t>6.8</t>
        </is>
      </c>
      <c r="B129" s="7" t="inlineStr">
        <is>
          <t>Quản lý nhật ký an ninh mạng</t>
        </is>
      </c>
      <c r="C129" s="7" t="inlineStr">
        <is>
          <t>6.8.2.3 a)</t>
        </is>
      </c>
      <c r="D129" s="7" t="inlineStr">
        <is>
          <t>Kiểm soát và ghi vết truy cập vào log</t>
        </is>
      </c>
      <c r="E129" s="11" t="inlineStr"/>
      <c r="F129" s="7" t="inlineStr">
        <is>
          <t>Cấu hình phân quyền kho log</t>
        </is>
      </c>
      <c r="G129" s="7" t="inlineStr">
        <is>
          <t>Mới/khác so với cấp 3</t>
        </is>
      </c>
      <c r="H129" s="11" t="inlineStr"/>
      <c r="I129" s="11" t="inlineStr"/>
    </row>
    <row r="130">
      <c r="A130" s="7" t="inlineStr">
        <is>
          <t>6.8</t>
        </is>
      </c>
      <c r="B130" s="7" t="inlineStr">
        <is>
          <t>Quản lý nhật ký an ninh mạng</t>
        </is>
      </c>
      <c r="C130" s="7" t="inlineStr">
        <is>
          <t>6.8.2.3 b)</t>
        </is>
      </c>
      <c r="D130" s="7" t="inlineStr">
        <is>
          <t>Bảo đảm log không bị sửa, xóa (bất biến)</t>
        </is>
      </c>
      <c r="E130" s="11" t="inlineStr"/>
      <c r="F130" s="7" t="inlineStr">
        <is>
          <t>Cấu hình WORM/immutable</t>
        </is>
      </c>
      <c r="G130" s="7" t="inlineStr">
        <is>
          <t>Mới/khác so với cấp 3</t>
        </is>
      </c>
      <c r="H130" s="11" t="inlineStr"/>
      <c r="I130" s="11" t="inlineStr"/>
    </row>
    <row r="131">
      <c r="A131" s="7" t="inlineStr">
        <is>
          <t>6.8</t>
        </is>
      </c>
      <c r="B131" s="7" t="inlineStr">
        <is>
          <t>Quản lý nhật ký an ninh mạng</t>
        </is>
      </c>
      <c r="C131" s="7" t="inlineStr">
        <is>
          <t>6.8.2.3 c)</t>
        </is>
      </c>
      <c r="D131" s="7" t="inlineStr">
        <is>
          <t>Lưu log trên hệ thống riêng, khác vùng mạng với nguồn phát sinh; mã hóa log quan trọng</t>
        </is>
      </c>
      <c r="E131" s="11" t="inlineStr"/>
      <c r="F131" s="7" t="inlineStr">
        <is>
          <t>Sơ đồ kiến trúc lưu log</t>
        </is>
      </c>
      <c r="G131" s="7" t="inlineStr">
        <is>
          <t>Mới/khác so với cấp 3</t>
        </is>
      </c>
      <c r="H131" s="11" t="inlineStr"/>
      <c r="I131" s="11" t="inlineStr"/>
    </row>
    <row r="132">
      <c r="A132" s="7" t="inlineStr">
        <is>
          <t>6.9</t>
        </is>
      </c>
      <c r="B132" s="7" t="inlineStr">
        <is>
          <t>Bảo vệ trình duyệt web, thư điện tử</t>
        </is>
      </c>
      <c r="C132" s="7" t="inlineStr">
        <is>
          <t>6.9.2.1 a)</t>
        </is>
      </c>
      <c r="D132" s="7" t="inlineStr">
        <is>
          <t>Danh sách trình duyệt và dịch vụ email được phép</t>
        </is>
      </c>
      <c r="E132" s="11" t="inlineStr"/>
      <c r="F132" s="7" t="inlineStr">
        <is>
          <t>Danh sách được phép</t>
        </is>
      </c>
      <c r="G132" s="7" t="inlineStr"/>
      <c r="H132" s="11" t="inlineStr"/>
      <c r="I132" s="11" t="inlineStr"/>
    </row>
    <row r="133">
      <c r="A133" s="7" t="inlineStr">
        <is>
          <t>6.9</t>
        </is>
      </c>
      <c r="B133" s="7" t="inlineStr">
        <is>
          <t>Bảo vệ trình duyệt web, thư điện tử</t>
        </is>
      </c>
      <c r="C133" s="7" t="inlineStr">
        <is>
          <t>6.9.2.1 b)</t>
        </is>
      </c>
      <c r="D133" s="7" t="inlineStr">
        <is>
          <t>Chỉ dùng phiên bản còn được hãng hỗ trợ</t>
        </is>
      </c>
      <c r="E133" s="11" t="inlineStr"/>
      <c r="F133" s="7" t="inlineStr">
        <is>
          <t>Báo cáo phiên bản</t>
        </is>
      </c>
      <c r="G133" s="7" t="inlineStr"/>
      <c r="H133" s="11" t="inlineStr"/>
      <c r="I133" s="11" t="inlineStr"/>
    </row>
    <row r="134">
      <c r="A134" s="7" t="inlineStr">
        <is>
          <t>6.9</t>
        </is>
      </c>
      <c r="B134" s="7" t="inlineStr">
        <is>
          <t>Bảo vệ trình duyệt web, thư điện tử</t>
        </is>
      </c>
      <c r="C134" s="7" t="inlineStr">
        <is>
          <t>6.9.2.1 c)</t>
        </is>
      </c>
      <c r="D134" s="7" t="inlineStr">
        <is>
          <t>Có giải pháp bảo vệ an ninh cho hệ thống email (hoặc tương đương)</t>
        </is>
      </c>
      <c r="E134" s="11" t="inlineStr"/>
      <c r="F134" s="7" t="inlineStr">
        <is>
          <t>Hồ sơ email security gateway</t>
        </is>
      </c>
      <c r="G134" s="7" t="inlineStr"/>
      <c r="H134" s="11" t="inlineStr"/>
      <c r="I134" s="11" t="inlineStr"/>
    </row>
    <row r="135">
      <c r="A135" s="7" t="inlineStr">
        <is>
          <t>6.9</t>
        </is>
      </c>
      <c r="B135" s="7" t="inlineStr">
        <is>
          <t>Bảo vệ trình duyệt web, thư điện tử</t>
        </is>
      </c>
      <c r="C135" s="7" t="inlineStr">
        <is>
          <t>6.9.2.1 d)</t>
        </is>
      </c>
      <c r="D135" s="7" t="inlineStr">
        <is>
          <t>Cập nhật bản vá trình duyệt, email thường xuyên (hoặc biện pháp tương đương)</t>
        </is>
      </c>
      <c r="E135" s="11" t="inlineStr"/>
      <c r="F135" s="7" t="inlineStr">
        <is>
          <t>Báo cáo bản vá</t>
        </is>
      </c>
      <c r="G135" s="7" t="inlineStr"/>
      <c r="H135" s="11" t="inlineStr"/>
      <c r="I135" s="11" t="inlineStr"/>
    </row>
    <row r="136">
      <c r="A136" s="7" t="inlineStr">
        <is>
          <t>6.9</t>
        </is>
      </c>
      <c r="B136" s="7" t="inlineStr">
        <is>
          <t>Bảo vệ trình duyệt web, thư điện tử</t>
        </is>
      </c>
      <c r="C136" s="7" t="inlineStr">
        <is>
          <t>6.9.2.2</t>
        </is>
      </c>
      <c r="D136" s="7" t="inlineStr">
        <is>
          <t>Dùng dịch vụ lọc tên miền (DNS filtering) chặn tên miền giả mạo, độc hại</t>
        </is>
      </c>
      <c r="E136" s="11" t="inlineStr"/>
      <c r="F136" s="7" t="inlineStr">
        <is>
          <t>Cấu hình DNS filtering</t>
        </is>
      </c>
      <c r="G136" s="7" t="inlineStr"/>
      <c r="H136" s="11" t="inlineStr"/>
      <c r="I136" s="11" t="inlineStr"/>
    </row>
    <row r="137">
      <c r="A137" s="7" t="inlineStr">
        <is>
          <t>6.9</t>
        </is>
      </c>
      <c r="B137" s="7" t="inlineStr">
        <is>
          <t>Bảo vệ trình duyệt web, thư điện tử</t>
        </is>
      </c>
      <c r="C137" s="7" t="inlineStr">
        <is>
          <t>6.9.2.3</t>
        </is>
      </c>
      <c r="D137" s="7" t="inlineStr">
        <is>
          <t>Triển khai và cập nhật định kỳ bộ lọc URL chặn trang web độc hại/không được chấp thuận</t>
        </is>
      </c>
      <c r="E137" s="11" t="inlineStr"/>
      <c r="F137" s="7" t="inlineStr">
        <is>
          <t>Chính sách web filter</t>
        </is>
      </c>
      <c r="G137" s="7" t="inlineStr">
        <is>
          <t>Mới/khác so với cấp 3</t>
        </is>
      </c>
      <c r="H137" s="11" t="inlineStr"/>
      <c r="I137" s="11" t="inlineStr"/>
    </row>
    <row r="138">
      <c r="A138" s="7" t="inlineStr">
        <is>
          <t>6.9</t>
        </is>
      </c>
      <c r="B138" s="7" t="inlineStr">
        <is>
          <t>Bảo vệ trình duyệt web, thư điện tử</t>
        </is>
      </c>
      <c r="C138" s="7" t="inlineStr">
        <is>
          <t>6.9.2.4 a)</t>
        </is>
      </c>
      <c r="D138" s="7" t="inlineStr">
        <is>
          <t>Danh sách tiện ích mở rộng được phép trên trình duyệt, email</t>
        </is>
      </c>
      <c r="E138" s="11" t="inlineStr"/>
      <c r="F138" s="7" t="inlineStr">
        <is>
          <t>Danh sách extension</t>
        </is>
      </c>
      <c r="G138" s="7" t="inlineStr">
        <is>
          <t>Mới/khác so với cấp 3</t>
        </is>
      </c>
      <c r="H138" s="11" t="inlineStr"/>
      <c r="I138" s="11" t="inlineStr"/>
    </row>
    <row r="139">
      <c r="A139" s="7" t="inlineStr">
        <is>
          <t>6.9</t>
        </is>
      </c>
      <c r="B139" s="7" t="inlineStr">
        <is>
          <t>Bảo vệ trình duyệt web, thư điện tử</t>
        </is>
      </c>
      <c r="C139" s="7" t="inlineStr">
        <is>
          <t>6.9.2.4 b)</t>
        </is>
      </c>
      <c r="D139" s="7" t="inlineStr">
        <is>
          <t>Kiểm soát cài đặt, sử dụng tiện ích mở rộng</t>
        </is>
      </c>
      <c r="E139" s="11" t="inlineStr"/>
      <c r="F139" s="7" t="inlineStr">
        <is>
          <t>GPO/MDM chặn extension</t>
        </is>
      </c>
      <c r="G139" s="7" t="inlineStr">
        <is>
          <t>Mới/khác so với cấp 3</t>
        </is>
      </c>
      <c r="H139" s="11" t="inlineStr"/>
      <c r="I139" s="11" t="inlineStr"/>
    </row>
    <row r="140">
      <c r="A140" s="7" t="inlineStr">
        <is>
          <t>6.9</t>
        </is>
      </c>
      <c r="B140" s="7" t="inlineStr">
        <is>
          <t>Bảo vệ trình duyệt web, thư điện tử</t>
        </is>
      </c>
      <c r="C140" s="7" t="inlineStr">
        <is>
          <t>6.9.2.4 c)</t>
        </is>
      </c>
      <c r="D140" s="7" t="inlineStr">
        <is>
          <t>Gỡ/tắt tiện ích mở rộng không được cấp phép</t>
        </is>
      </c>
      <c r="E140" s="11" t="inlineStr"/>
      <c r="F140" s="7" t="inlineStr">
        <is>
          <t>Báo cáo rà soát</t>
        </is>
      </c>
      <c r="G140" s="7" t="inlineStr">
        <is>
          <t>Mới/khác so với cấp 3</t>
        </is>
      </c>
      <c r="H140" s="11" t="inlineStr"/>
      <c r="I140" s="11" t="inlineStr"/>
    </row>
    <row r="141">
      <c r="A141" s="7" t="inlineStr">
        <is>
          <t>6.9</t>
        </is>
      </c>
      <c r="B141" s="7" t="inlineStr">
        <is>
          <t>Bảo vệ trình duyệt web, thư điện tử</t>
        </is>
      </c>
      <c r="C141" s="7" t="inlineStr">
        <is>
          <t>6.9.2.5</t>
        </is>
      </c>
      <c r="D141" s="7" t="inlineStr">
        <is>
          <t>Triển khai DMARC cho tên miền email của tổ chức</t>
        </is>
      </c>
      <c r="E141" s="11" t="inlineStr"/>
      <c r="F141" s="7" t="inlineStr">
        <is>
          <t>Bản ghi DNS DMARC/SPF/DKIM</t>
        </is>
      </c>
      <c r="G141" s="7" t="inlineStr">
        <is>
          <t>Mới/khác so với cấp 3</t>
        </is>
      </c>
      <c r="H141" s="11" t="inlineStr"/>
      <c r="I141" s="11" t="inlineStr"/>
    </row>
    <row r="142">
      <c r="A142" s="7" t="inlineStr">
        <is>
          <t>6.9</t>
        </is>
      </c>
      <c r="B142" s="7" t="inlineStr">
        <is>
          <t>Bảo vệ trình duyệt web, thư điện tử</t>
        </is>
      </c>
      <c r="C142" s="7" t="inlineStr">
        <is>
          <t>6.9.2.6 a)</t>
        </is>
      </c>
      <c r="D142" s="7" t="inlineStr">
        <is>
          <t>Danh sách loại tệp được phép đính kèm email</t>
        </is>
      </c>
      <c r="E142" s="11" t="inlineStr"/>
      <c r="F142" s="7" t="inlineStr">
        <is>
          <t>Chính sách đính kèm</t>
        </is>
      </c>
      <c r="G142" s="7" t="inlineStr">
        <is>
          <t>Mới/khác so với cấp 3</t>
        </is>
      </c>
      <c r="H142" s="11" t="inlineStr"/>
      <c r="I142" s="11" t="inlineStr"/>
    </row>
    <row r="143">
      <c r="A143" s="7" t="inlineStr">
        <is>
          <t>6.9</t>
        </is>
      </c>
      <c r="B143" s="7" t="inlineStr">
        <is>
          <t>Bảo vệ trình duyệt web, thư điện tử</t>
        </is>
      </c>
      <c r="C143" s="7" t="inlineStr">
        <is>
          <t>6.9.2.6 b)</t>
        </is>
      </c>
      <c r="D143" s="7" t="inlineStr">
        <is>
          <t>Chặn tệp ngoài danh sách; kiểm soát email có đính kèm</t>
        </is>
      </c>
      <c r="E143" s="11" t="inlineStr"/>
      <c r="F143" s="7" t="inlineStr">
        <is>
          <t>Cấu hình gateway</t>
        </is>
      </c>
      <c r="G143" s="7" t="inlineStr">
        <is>
          <t>Mới/khác so với cấp 3</t>
        </is>
      </c>
      <c r="H143" s="11" t="inlineStr"/>
      <c r="I143" s="11" t="inlineStr"/>
    </row>
    <row r="144">
      <c r="A144" s="7" t="inlineStr">
        <is>
          <t>6.10</t>
        </is>
      </c>
      <c r="B144" s="7" t="inlineStr">
        <is>
          <t>Phòng chống phần mềm độc hại</t>
        </is>
      </c>
      <c r="C144" s="7" t="inlineStr">
        <is>
          <t>6.10.1 a)</t>
        </is>
      </c>
      <c r="D144" s="7" t="inlineStr">
        <is>
          <t>Quy định phòng, chống, khắc phục mã độc</t>
        </is>
      </c>
      <c r="E144" s="11" t="inlineStr"/>
      <c r="F144" s="7" t="inlineStr">
        <is>
          <t>Quy định phòng chống mã độc</t>
        </is>
      </c>
      <c r="G144" s="7" t="inlineStr"/>
      <c r="H144" s="11" t="inlineStr"/>
      <c r="I144" s="11" t="inlineStr"/>
    </row>
    <row r="145">
      <c r="A145" s="7" t="inlineStr">
        <is>
          <t>6.10</t>
        </is>
      </c>
      <c r="B145" s="7" t="inlineStr">
        <is>
          <t>Phòng chống phần mềm độc hại</t>
        </is>
      </c>
      <c r="C145" s="7" t="inlineStr">
        <is>
          <t>6.10.1 b)</t>
        </is>
      </c>
      <c r="D145" s="7" t="inlineStr">
        <is>
          <t>Chống mã độc cho mọi tài sản và điểm kết nối (trong và ngoài); tự quét, chặn, cập nhật mẫu, gắn với quy trình lỗ hổng/sự cố</t>
        </is>
      </c>
      <c r="E145" s="11" t="inlineStr"/>
      <c r="F145" s="7" t="inlineStr">
        <is>
          <t>Kiến trúc giải pháp</t>
        </is>
      </c>
      <c r="G145" s="7" t="inlineStr"/>
      <c r="H145" s="11" t="inlineStr"/>
      <c r="I145" s="11" t="inlineStr"/>
    </row>
    <row r="146">
      <c r="A146" s="7" t="inlineStr">
        <is>
          <t>6.10</t>
        </is>
      </c>
      <c r="B146" s="7" t="inlineStr">
        <is>
          <t>Phòng chống phần mềm độc hại</t>
        </is>
      </c>
      <c r="C146" s="7" t="inlineStr">
        <is>
          <t>6.10.2.1 a)</t>
        </is>
      </c>
      <c r="D146" s="7" t="inlineStr">
        <is>
          <t>Cài và duy trì phần mềm chống mã độc (hoặc tương đương) trên máy chủ, máy người dùng</t>
        </is>
      </c>
      <c r="E146" s="11" t="inlineStr"/>
      <c r="F146" s="7" t="inlineStr">
        <is>
          <t>Báo cáo độ phủ agent</t>
        </is>
      </c>
      <c r="G146" s="7" t="inlineStr"/>
      <c r="H146" s="11" t="inlineStr"/>
      <c r="I146" s="11" t="inlineStr"/>
    </row>
    <row r="147">
      <c r="A147" s="7" t="inlineStr">
        <is>
          <t>6.10</t>
        </is>
      </c>
      <c r="B147" s="7" t="inlineStr">
        <is>
          <t>Phòng chống phần mềm độc hại</t>
        </is>
      </c>
      <c r="C147" s="7" t="inlineStr">
        <is>
          <t>6.10.2.1 b)</t>
        </is>
      </c>
      <c r="D147" s="7" t="inlineStr">
        <is>
          <t>Tính năng tối thiểu: bảo vệ thời gian thực, phát hiện theo hành vi, tự cập nhật mẫu</t>
        </is>
      </c>
      <c r="E147" s="11" t="inlineStr"/>
      <c r="F147" s="7" t="inlineStr">
        <is>
          <t>Cấu hình sản phẩm</t>
        </is>
      </c>
      <c r="G147" s="7" t="inlineStr">
        <is>
          <t>Mới/khác so với cấp 3</t>
        </is>
      </c>
      <c r="H147" s="11" t="inlineStr"/>
      <c r="I147" s="11" t="inlineStr"/>
    </row>
    <row r="148">
      <c r="A148" s="7" t="inlineStr">
        <is>
          <t>6.10</t>
        </is>
      </c>
      <c r="B148" s="7" t="inlineStr">
        <is>
          <t>Phòng chống phần mềm độc hại</t>
        </is>
      </c>
      <c r="C148" s="7" t="inlineStr">
        <is>
          <t>6.10.2.2 a)</t>
        </is>
      </c>
      <c r="D148" s="7" t="inlineStr">
        <is>
          <t>Quét mã độc và tắt autorun/autoplay với USB, ổ cứng, thẻ nhớ</t>
        </is>
      </c>
      <c r="E148" s="11" t="inlineStr"/>
      <c r="F148" s="7" t="inlineStr">
        <is>
          <t>GPO tắt autorun, chính sách quét</t>
        </is>
      </c>
      <c r="G148" s="7" t="inlineStr"/>
      <c r="H148" s="11" t="inlineStr"/>
      <c r="I148" s="11" t="inlineStr"/>
    </row>
    <row r="149">
      <c r="A149" s="7" t="inlineStr">
        <is>
          <t>6.10</t>
        </is>
      </c>
      <c r="B149" s="7" t="inlineStr">
        <is>
          <t>Phòng chống phần mềm độc hại</t>
        </is>
      </c>
      <c r="C149" s="7" t="inlineStr">
        <is>
          <t>6.10.2.3</t>
        </is>
      </c>
      <c r="D149" s="7" t="inlineStr">
        <is>
          <t>Quản lý tập trung phần mềm chống mã độc (cập nhật, cảnh báo, quản lý)</t>
        </is>
      </c>
      <c r="E149" s="11" t="inlineStr"/>
      <c r="F149" s="7" t="inlineStr">
        <is>
          <t>Console quản lý tập trung</t>
        </is>
      </c>
      <c r="G149" s="7" t="inlineStr">
        <is>
          <t>Mới/khác so với cấp 3</t>
        </is>
      </c>
      <c r="H149" s="11" t="inlineStr"/>
      <c r="I149" s="11" t="inlineStr"/>
    </row>
    <row r="150">
      <c r="A150" s="7" t="inlineStr">
        <is>
          <t>6.10</t>
        </is>
      </c>
      <c r="B150" s="7" t="inlineStr">
        <is>
          <t>Phòng chống phần mềm độc hại</t>
        </is>
      </c>
      <c r="C150" s="7" t="inlineStr">
        <is>
          <t>6.10.2.4</t>
        </is>
      </c>
      <c r="D150" s="7" t="inlineStr">
        <is>
          <t>Bật tính năng chống khai thác lỗ hổng (exploit protection) nếu có</t>
        </is>
      </c>
      <c r="E150" s="11" t="inlineStr"/>
      <c r="F150" s="7" t="inlineStr">
        <is>
          <t>Cấu hình</t>
        </is>
      </c>
      <c r="G150" s="7" t="inlineStr"/>
      <c r="H150" s="11" t="inlineStr"/>
      <c r="I150" s="11" t="inlineStr"/>
    </row>
    <row r="151">
      <c r="A151" s="7" t="inlineStr">
        <is>
          <t>6.10</t>
        </is>
      </c>
      <c r="B151" s="7" t="inlineStr">
        <is>
          <t>Phòng chống phần mềm độc hại</t>
        </is>
      </c>
      <c r="C151" s="7" t="inlineStr">
        <is>
          <t>6.10.2.5 a)</t>
        </is>
      </c>
      <c r="D151" s="7" t="inlineStr">
        <is>
          <t>Triển khai EDR (hoặc tương đương) phát hiện theo hành vi trên máy chủ, máy người dùng</t>
        </is>
      </c>
      <c r="E151" s="11" t="inlineStr"/>
      <c r="F151" s="7" t="inlineStr">
        <is>
          <t>Hồ sơ EDR, độ phủ</t>
        </is>
      </c>
      <c r="G151" s="7" t="inlineStr"/>
      <c r="H151" s="11" t="inlineStr"/>
      <c r="I151" s="11" t="inlineStr"/>
    </row>
    <row r="152">
      <c r="A152" s="7" t="inlineStr">
        <is>
          <t>6.10</t>
        </is>
      </c>
      <c r="B152" s="7" t="inlineStr">
        <is>
          <t>Phòng chống phần mềm độc hại</t>
        </is>
      </c>
      <c r="C152" s="7" t="inlineStr">
        <is>
          <t>6.10.2.5 b)</t>
        </is>
      </c>
      <c r="D152" s="7" t="inlineStr">
        <is>
          <t>Kết nối EDR về SIEM để giám sát, cảnh báo thời gian thực</t>
        </is>
      </c>
      <c r="E152" s="11" t="inlineStr"/>
      <c r="F152" s="7" t="inlineStr">
        <is>
          <t>Cấu hình tích hợp</t>
        </is>
      </c>
      <c r="G152" s="7" t="inlineStr"/>
      <c r="H152" s="11" t="inlineStr"/>
      <c r="I152" s="11" t="inlineStr"/>
    </row>
    <row r="153">
      <c r="A153" s="7" t="inlineStr">
        <is>
          <t>6.11</t>
        </is>
      </c>
      <c r="B153" s="7" t="inlineStr">
        <is>
          <t>Sao lưu và khôi phục dữ liệu</t>
        </is>
      </c>
      <c r="C153" s="7" t="inlineStr">
        <is>
          <t>6.11.2.1 a)</t>
        </is>
      </c>
      <c r="D153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53" s="11" t="inlineStr"/>
      <c r="F153" s="7" t="inlineStr">
        <is>
          <t>Quy định sao lưu</t>
        </is>
      </c>
      <c r="G153" s="7" t="inlineStr"/>
      <c r="H153" s="11" t="inlineStr"/>
      <c r="I153" s="11" t="inlineStr"/>
    </row>
    <row r="154">
      <c r="A154" s="7" t="inlineStr">
        <is>
          <t>6.11</t>
        </is>
      </c>
      <c r="B154" s="7" t="inlineStr">
        <is>
          <t>Sao lưu và khôi phục dữ liệu</t>
        </is>
      </c>
      <c r="C154" s="7" t="inlineStr">
        <is>
          <t>6.11.2.1 b)</t>
        </is>
      </c>
      <c r="D154" s="7" t="inlineStr">
        <is>
          <t>Giải pháp lưu trữ/sao lưu tập trung sẵn sàng cao, khôi phục nóng khi một thành phần hỏng</t>
        </is>
      </c>
      <c r="E154" s="11" t="inlineStr"/>
      <c r="F154" s="7" t="inlineStr">
        <is>
          <t>Kiến trúc sao lưu</t>
        </is>
      </c>
      <c r="G154" s="7" t="inlineStr">
        <is>
          <t>Mới/khác so với cấp 3</t>
        </is>
      </c>
      <c r="H154" s="11" t="inlineStr"/>
      <c r="I154" s="11" t="inlineStr"/>
    </row>
    <row r="155">
      <c r="A155" s="7" t="inlineStr">
        <is>
          <t>6.11</t>
        </is>
      </c>
      <c r="B155" s="7" t="inlineStr">
        <is>
          <t>Sao lưu và khôi phục dữ liệu</t>
        </is>
      </c>
      <c r="C155" s="7" t="inlineStr">
        <is>
          <t>6.11.2.1 c)</t>
        </is>
      </c>
      <c r="D155" s="7" t="inlineStr">
        <is>
          <t>Rà soát quy định sao lưu ≥ 1 lần/năm hoặc khi thay đổi</t>
        </is>
      </c>
      <c r="E155" s="11" t="inlineStr"/>
      <c r="F155" s="7" t="inlineStr">
        <is>
          <t>Lịch sử phiên bản</t>
        </is>
      </c>
      <c r="G155" s="7" t="inlineStr"/>
      <c r="H155" s="11" t="inlineStr"/>
      <c r="I155" s="11" t="inlineStr"/>
    </row>
    <row r="156">
      <c r="A156" s="7" t="inlineStr">
        <is>
          <t>6.11</t>
        </is>
      </c>
      <c r="B156" s="7" t="inlineStr">
        <is>
          <t>Sao lưu và khôi phục dữ liệu</t>
        </is>
      </c>
      <c r="C156" s="7" t="inlineStr">
        <is>
          <t>6.11.2.2 a)</t>
        </is>
      </c>
      <c r="D156" s="7" t="inlineStr">
        <is>
          <t>Danh sách dữ liệu cần sao lưu và tần suất theo ngày/tuần/tháng…</t>
        </is>
      </c>
      <c r="E156" s="11" t="inlineStr"/>
      <c r="F156" s="7" t="inlineStr">
        <is>
          <t>Bảng lịch sao lưu</t>
        </is>
      </c>
      <c r="G156" s="7" t="inlineStr"/>
      <c r="H156" s="11" t="inlineStr"/>
      <c r="I156" s="11" t="inlineStr"/>
    </row>
    <row r="157">
      <c r="A157" s="7" t="inlineStr">
        <is>
          <t>6.11</t>
        </is>
      </c>
      <c r="B157" s="7" t="inlineStr">
        <is>
          <t>Sao lưu và khôi phục dữ liệu</t>
        </is>
      </c>
      <c r="C157" s="7" t="inlineStr">
        <is>
          <t>6.11.2.2 b)</t>
        </is>
      </c>
      <c r="D157" s="7" t="inlineStr">
        <is>
          <t>Sao lưu tự động (giải pháp hoặc tương đương)</t>
        </is>
      </c>
      <c r="E157" s="11" t="inlineStr"/>
      <c r="F157" s="7" t="inlineStr">
        <is>
          <t>Cấu hình job sao lưu</t>
        </is>
      </c>
      <c r="G157" s="7" t="inlineStr"/>
      <c r="H157" s="11" t="inlineStr"/>
      <c r="I157" s="11" t="inlineStr"/>
    </row>
    <row r="158">
      <c r="A158" s="7" t="inlineStr">
        <is>
          <t>6.11</t>
        </is>
      </c>
      <c r="B158" s="7" t="inlineStr">
        <is>
          <t>Sao lưu và khôi phục dữ liệu</t>
        </is>
      </c>
      <c r="C158" s="7" t="inlineStr">
        <is>
          <t>6.11.2.3 a)</t>
        </is>
      </c>
      <c r="D158" s="7" t="inlineStr">
        <is>
          <t>Áp dụng quy tắc 3-2-1 (hoặc tương đương) cho bản sao lưu</t>
        </is>
      </c>
      <c r="E158" s="11" t="inlineStr"/>
      <c r="F158" s="7" t="inlineStr">
        <is>
          <t>Sơ đồ 3-2-1</t>
        </is>
      </c>
      <c r="G158" s="7" t="inlineStr"/>
      <c r="H158" s="11" t="inlineStr"/>
      <c r="I158" s="11" t="inlineStr"/>
    </row>
    <row r="159">
      <c r="A159" s="7" t="inlineStr">
        <is>
          <t>6.11</t>
        </is>
      </c>
      <c r="B159" s="7" t="inlineStr">
        <is>
          <t>Sao lưu và khôi phục dữ liệu</t>
        </is>
      </c>
      <c r="C159" s="7" t="inlineStr">
        <is>
          <t>6.11.2.3 b)</t>
        </is>
      </c>
      <c r="D159" s="7" t="inlineStr">
        <is>
          <t>Mã hóa bản sao lưu dữ liệu nhạy cảm cao, dữ liệu quan trọng</t>
        </is>
      </c>
      <c r="E159" s="11" t="inlineStr"/>
      <c r="F159" s="7" t="inlineStr">
        <is>
          <t>Cấu hình mã hóa backup</t>
        </is>
      </c>
      <c r="G159" s="7" t="inlineStr">
        <is>
          <t>Mới/khác so với cấp 3</t>
        </is>
      </c>
      <c r="H159" s="11" t="inlineStr"/>
      <c r="I159" s="11" t="inlineStr"/>
    </row>
    <row r="160">
      <c r="A160" s="7" t="inlineStr">
        <is>
          <t>6.11</t>
        </is>
      </c>
      <c r="B160" s="7" t="inlineStr">
        <is>
          <t>Sao lưu và khôi phục dữ liệu</t>
        </is>
      </c>
      <c r="C160" s="7" t="inlineStr">
        <is>
          <t>6.11.2.4</t>
        </is>
      </c>
      <c r="D160" s="7" t="inlineStr">
        <is>
          <t>Định danh, quản lý phiên bản bản sao lưu; lưu trên hạ tầng độc lập, tách biệt môi trường vận hành</t>
        </is>
      </c>
      <c r="E160" s="11" t="inlineStr"/>
      <c r="F160" s="7" t="inlineStr">
        <is>
          <t>Sơ đồ hạ tầng backup</t>
        </is>
      </c>
      <c r="G160" s="7" t="inlineStr">
        <is>
          <t>Mới/khác so với cấp 3</t>
        </is>
      </c>
      <c r="H160" s="11" t="inlineStr"/>
      <c r="I160" s="11" t="inlineStr"/>
    </row>
    <row r="161">
      <c r="A161" s="7" t="inlineStr">
        <is>
          <t>6.11</t>
        </is>
      </c>
      <c r="B161" s="7" t="inlineStr">
        <is>
          <t>Sao lưu và khôi phục dữ liệu</t>
        </is>
      </c>
      <c r="C161" s="7" t="inlineStr">
        <is>
          <t>6.11.2.5</t>
        </is>
      </c>
      <c r="D161" s="7" t="inlineStr">
        <is>
          <t>Có phương án khôi phục toàn vẹn; thử khôi phục bản sao lưu ≥ 1 lần/6 tháng</t>
        </is>
      </c>
      <c r="E161" s="11" t="inlineStr"/>
      <c r="F161" s="7" t="inlineStr">
        <is>
          <t>Biên bản khôi phục thử</t>
        </is>
      </c>
      <c r="G161" s="7" t="inlineStr">
        <is>
          <t>Mới/khác so với cấp 3</t>
        </is>
      </c>
      <c r="H161" s="11" t="inlineStr"/>
      <c r="I161" s="11" t="inlineStr"/>
    </row>
    <row r="162">
      <c r="A162" s="7" t="inlineStr">
        <is>
          <t>6.12</t>
        </is>
      </c>
      <c r="B162" s="7" t="inlineStr">
        <is>
          <t>Quản lý hạ tầng mạng</t>
        </is>
      </c>
      <c r="C162" s="7" t="inlineStr">
        <is>
          <t>6.12.2.1 a)</t>
        </is>
      </c>
      <c r="D162" s="7" t="inlineStr">
        <is>
          <t>Lập, duy trì sơ đồ mạng; hồ sơ thiết kế và biện pháp ANM được chuyên gia/bộ phận chuyên môn thẩm tra trước khi triển khai</t>
        </is>
      </c>
      <c r="E162" s="11" t="inlineStr"/>
      <c r="F162" s="7" t="inlineStr">
        <is>
          <t>Sơ đồ mạng; biên bản thẩm tra thiết kế (cấp 4–5)</t>
        </is>
      </c>
      <c r="G162" s="7" t="inlineStr">
        <is>
          <t>Mới/khác so với cấp 3</t>
        </is>
      </c>
      <c r="H162" s="11" t="inlineStr"/>
      <c r="I162" s="11" t="inlineStr"/>
    </row>
    <row r="163">
      <c r="A163" s="7" t="inlineStr">
        <is>
          <t>6.12</t>
        </is>
      </c>
      <c r="B163" s="7" t="inlineStr">
        <is>
          <t>Quản lý hạ tầng mạng</t>
        </is>
      </c>
      <c r="C163" s="7" t="inlineStr">
        <is>
          <t>6.12.2.1 b)</t>
        </is>
      </c>
      <c r="D163" s="7" t="inlineStr">
        <is>
          <t>Kiến trúc lấy dữ liệu/tài nguyên làm trung tâm; phân đoạn vi mô (hoặc tương đương) cách ly máy chủ, ứng dụng quan trọng</t>
        </is>
      </c>
      <c r="E163" s="11" t="inlineStr"/>
      <c r="F163" s="7" t="inlineStr">
        <is>
          <t>Thiết kế microsegmentation</t>
        </is>
      </c>
      <c r="G163" s="7" t="inlineStr">
        <is>
          <t>Mới/khác so với cấp 3</t>
        </is>
      </c>
      <c r="H163" s="11" t="inlineStr"/>
      <c r="I163" s="11" t="inlineStr"/>
    </row>
    <row r="164">
      <c r="A164" s="7" t="inlineStr">
        <is>
          <t>6.12</t>
        </is>
      </c>
      <c r="B164" s="7" t="inlineStr">
        <is>
          <t>Quản lý hạ tầng mạng</t>
        </is>
      </c>
      <c r="C164" s="7" t="inlineStr">
        <is>
          <t>6.12.2.1 c)</t>
        </is>
      </c>
      <c r="D164" s="7" t="inlineStr">
        <is>
          <t>Kiến trúc mạng an toàn theo 3 nguyên tắc: phân vùng, đặc quyền tối thiểu, sẵn sàng</t>
        </is>
      </c>
      <c r="E164" s="11" t="inlineStr"/>
      <c r="F164" s="7" t="inlineStr">
        <is>
          <t>Tài liệu kiến trúc</t>
        </is>
      </c>
      <c r="G164" s="7" t="inlineStr"/>
      <c r="H164" s="11" t="inlineStr"/>
      <c r="I164" s="11" t="inlineStr"/>
    </row>
    <row r="165">
      <c r="A165" s="7" t="inlineStr">
        <is>
          <t>6.12</t>
        </is>
      </c>
      <c r="B165" s="7" t="inlineStr">
        <is>
          <t>Quản lý hạ tầng mạng</t>
        </is>
      </c>
      <c r="C165" s="7" t="inlineStr">
        <is>
          <t>6.12.2.1 d)</t>
        </is>
      </c>
      <c r="D165" s="7" t="inlineStr">
        <is>
          <t>Kết nối mạng an toàn từ khâu thiết lập kênh đến trao đổi dữ liệu</t>
        </is>
      </c>
      <c r="E165" s="11" t="inlineStr"/>
      <c r="F165" s="7" t="inlineStr">
        <is>
          <t>Cấu hình kênh (TLS/IPsec)</t>
        </is>
      </c>
      <c r="G165" s="7" t="inlineStr">
        <is>
          <t>Mới/khác so với cấp 3</t>
        </is>
      </c>
      <c r="H165" s="11" t="inlineStr"/>
      <c r="I165" s="11" t="inlineStr"/>
    </row>
    <row r="166">
      <c r="A166" s="7" t="inlineStr">
        <is>
          <t>6.12</t>
        </is>
      </c>
      <c r="B166" s="7" t="inlineStr">
        <is>
          <t>Quản lý hạ tầng mạng</t>
        </is>
      </c>
      <c r="C166" s="7" t="inlineStr">
        <is>
          <t>6.12.2.1 e)</t>
        </is>
      </c>
      <c r="D166" s="7" t="inlineStr">
        <is>
          <t>Hồ sơ mạng gồm: tổng quan kiến trúc, sơ đồ chi tiết, tài liệu kỹ thuật, mô tả phương án ANM</t>
        </is>
      </c>
      <c r="E166" s="11" t="inlineStr"/>
      <c r="F166" s="7" t="inlineStr">
        <is>
          <t>Bộ hồ sơ mạng</t>
        </is>
      </c>
      <c r="G166" s="7" t="inlineStr"/>
      <c r="H166" s="11" t="inlineStr"/>
      <c r="I166" s="11" t="inlineStr"/>
    </row>
    <row r="167">
      <c r="A167" s="7" t="inlineStr">
        <is>
          <t>6.12</t>
        </is>
      </c>
      <c r="B167" s="7" t="inlineStr">
        <is>
          <t>Quản lý hạ tầng mạng</t>
        </is>
      </c>
      <c r="C167" s="7" t="inlineStr">
        <is>
          <t>6.12.2.1 f)</t>
        </is>
      </c>
      <c r="D167" s="7" t="inlineStr">
        <is>
          <t>Quản lý, bảo vệ tài liệu và hồ sơ thiết kế</t>
        </is>
      </c>
      <c r="E167" s="11" t="inlineStr"/>
      <c r="F167" s="7" t="inlineStr">
        <is>
          <t>Quy định lưu trữ hồ sơ thiết kế</t>
        </is>
      </c>
      <c r="G167" s="7" t="inlineStr">
        <is>
          <t>Mới/khác so với cấp 3</t>
        </is>
      </c>
      <c r="H167" s="11" t="inlineStr"/>
      <c r="I167" s="11" t="inlineStr"/>
    </row>
    <row r="168">
      <c r="A168" s="7" t="inlineStr">
        <is>
          <t>6.12</t>
        </is>
      </c>
      <c r="B168" s="7" t="inlineStr">
        <is>
          <t>Quản lý hạ tầng mạng</t>
        </is>
      </c>
      <c r="C168" s="7" t="inlineStr">
        <is>
          <t>6.12.2.1 g)</t>
        </is>
      </c>
      <c r="D168" s="7" t="inlineStr">
        <is>
          <t>Cập nhật sơ đồ mạng 1 lần/6 tháng hoặc khi thay đổi</t>
        </is>
      </c>
      <c r="E168" s="11" t="inlineStr"/>
      <c r="F168" s="7" t="inlineStr">
        <is>
          <t>Lịch sử phiên bản sơ đồ</t>
        </is>
      </c>
      <c r="G168" s="7" t="inlineStr">
        <is>
          <t>Mới/khác so với cấp 3</t>
        </is>
      </c>
      <c r="H168" s="11" t="inlineStr"/>
      <c r="I168" s="11" t="inlineStr"/>
    </row>
    <row r="169">
      <c r="A169" s="7" t="inlineStr">
        <is>
          <t>6.12</t>
        </is>
      </c>
      <c r="B169" s="7" t="inlineStr">
        <is>
          <t>Quản lý hạ tầng mạng</t>
        </is>
      </c>
      <c r="C169" s="7" t="inlineStr">
        <is>
          <t>6.12.2.2 a)</t>
        </is>
      </c>
      <c r="D169" s="7" t="inlineStr">
        <is>
          <t>Cân bằng tải, dự phòng nóng thiết bị mạng chính; nếu buộc nối Internet: ≥ 2 hướng Internet quốc tế từ nhà mạng trong nước khác hạ tầng</t>
        </is>
      </c>
      <c r="E169" s="11" t="inlineStr"/>
      <c r="F169" s="7" t="inlineStr">
        <is>
          <t>Sơ đồ HA, hợp đồng kênh truyền</t>
        </is>
      </c>
      <c r="G169" s="7" t="inlineStr">
        <is>
          <t>Mới/khác so với cấp 3</t>
        </is>
      </c>
      <c r="H169" s="11" t="inlineStr"/>
      <c r="I169" s="11" t="inlineStr"/>
    </row>
    <row r="170">
      <c r="A170" s="7" t="inlineStr">
        <is>
          <t>6.12</t>
        </is>
      </c>
      <c r="B170" s="7" t="inlineStr">
        <is>
          <t>Quản lý hạ tầng mạng</t>
        </is>
      </c>
      <c r="C170" s="7" t="inlineStr">
        <is>
          <t>6.12.2.2 a)</t>
        </is>
      </c>
      <c r="D170" s="7" t="inlineStr">
        <is>
          <t>Bảo đảm an toàn mạng không dây (nếu có)</t>
        </is>
      </c>
      <c r="E170" s="11" t="inlineStr"/>
      <c r="F170" s="7" t="inlineStr">
        <is>
          <t>Cấu hình WPA2/3-Enterprise, tách SSID</t>
        </is>
      </c>
      <c r="G170" s="7" t="inlineStr"/>
      <c r="H170" s="11" t="inlineStr"/>
      <c r="I170" s="11" t="inlineStr"/>
    </row>
    <row r="171">
      <c r="A171" s="7" t="inlineStr">
        <is>
          <t>6.12</t>
        </is>
      </c>
      <c r="B171" s="7" t="inlineStr">
        <is>
          <t>Quản lý hạ tầng mạng</t>
        </is>
      </c>
      <c r="C171" s="7" t="inlineStr">
        <is>
          <t>6.12.2.2 a)</t>
        </is>
      </c>
      <c r="D171" s="7" t="inlineStr">
        <is>
          <t>Dự phòng kết nối mạng cho máy chủ cung cấp dịch vụ</t>
        </is>
      </c>
      <c r="E171" s="11" t="inlineStr"/>
      <c r="F171" s="7" t="inlineStr">
        <is>
          <t>Sơ đồ kết nối kép</t>
        </is>
      </c>
      <c r="G171" s="7" t="inlineStr"/>
      <c r="H171" s="11" t="inlineStr"/>
      <c r="I171" s="11" t="inlineStr"/>
    </row>
    <row r="172">
      <c r="A172" s="7" t="inlineStr">
        <is>
          <t>6.12</t>
        </is>
      </c>
      <c r="B172" s="7" t="inlineStr">
        <is>
          <t>Quản lý hạ tầng mạng</t>
        </is>
      </c>
      <c r="C172" s="7" t="inlineStr">
        <is>
          <t>6.12.2.2 a)</t>
        </is>
      </c>
      <c r="D172" s="7" t="inlineStr">
        <is>
          <t>Tường lửa có IPS (hoặc tương đương) kiểm soát truy cập, chống xâm nhập giữa các vùng mạng</t>
        </is>
      </c>
      <c r="E172" s="11" t="inlineStr"/>
      <c r="F172" s="7" t="inlineStr">
        <is>
          <t>Cấu hình NGFW/IPS</t>
        </is>
      </c>
      <c r="G172" s="7" t="inlineStr"/>
      <c r="H172" s="11" t="inlineStr"/>
      <c r="I172" s="11" t="inlineStr"/>
    </row>
    <row r="173">
      <c r="A173" s="7" t="inlineStr">
        <is>
          <t>6.12</t>
        </is>
      </c>
      <c r="B173" s="7" t="inlineStr">
        <is>
          <t>Quản lý hạ tầng mạng</t>
        </is>
      </c>
      <c r="C173" s="7" t="inlineStr">
        <is>
          <t>6.12.2.2 a)</t>
        </is>
      </c>
      <c r="D173" s="7" t="inlineStr">
        <is>
          <t>Tường lửa có chống mã độc trên đường mạng (hoặc tương đương)</t>
        </is>
      </c>
      <c r="E173" s="11" t="inlineStr"/>
      <c r="F173" s="7" t="inlineStr">
        <is>
          <t>Cấu hình AV gateway</t>
        </is>
      </c>
      <c r="G173" s="7" t="inlineStr"/>
      <c r="H173" s="11" t="inlineStr"/>
      <c r="I173" s="11" t="inlineStr"/>
    </row>
    <row r="174">
      <c r="A174" s="7" t="inlineStr">
        <is>
          <t>6.12</t>
        </is>
      </c>
      <c r="B174" s="7" t="inlineStr">
        <is>
          <t>Quản lý hạ tầng mạng</t>
        </is>
      </c>
      <c r="C174" s="7" t="inlineStr">
        <is>
          <t>6.12.2.2 a)</t>
        </is>
      </c>
      <c r="D174" s="7" t="inlineStr">
        <is>
          <t>Tường lửa CSDL (DBF) hoặc tương đương cho CSDL tập trung</t>
        </is>
      </c>
      <c r="E174" s="11" t="inlineStr"/>
      <c r="F174" s="7" t="inlineStr">
        <is>
          <t>Hồ sơ DBF</t>
        </is>
      </c>
      <c r="G174" s="7" t="inlineStr"/>
      <c r="H174" s="11" t="inlineStr"/>
      <c r="I174" s="11" t="inlineStr"/>
    </row>
    <row r="175">
      <c r="A175" s="7" t="inlineStr">
        <is>
          <t>6.12</t>
        </is>
      </c>
      <c r="B175" s="7" t="inlineStr">
        <is>
          <t>Quản lý hạ tầng mạng</t>
        </is>
      </c>
      <c r="C175" s="7" t="inlineStr">
        <is>
          <t>6.12.2.2 a)</t>
        </is>
      </c>
      <c r="D175" s="7" t="inlineStr">
        <is>
          <t>NAC (hoặc tương đương) kiểm soát thiết bị đầu cuối kết nối vào mạng</t>
        </is>
      </c>
      <c r="E175" s="11" t="inlineStr"/>
      <c r="F175" s="7" t="inlineStr">
        <is>
          <t>Hồ sơ NAC/802.1X</t>
        </is>
      </c>
      <c r="G175" s="7" t="inlineStr"/>
      <c r="H175" s="11" t="inlineStr"/>
      <c r="I175" s="11" t="inlineStr"/>
    </row>
    <row r="176">
      <c r="A176" s="7" t="inlineStr">
        <is>
          <t>6.12</t>
        </is>
      </c>
      <c r="B176" s="7" t="inlineStr">
        <is>
          <t>Quản lý hạ tầng mạng</t>
        </is>
      </c>
      <c r="C176" s="7" t="inlineStr">
        <is>
          <t>6.12.2.2 a)</t>
        </is>
      </c>
      <c r="D176" s="7" t="inlineStr">
        <is>
          <t>Giám sát HTTT tập trung (tài nguyên, trạng thái)</t>
        </is>
      </c>
      <c r="E176" s="11" t="inlineStr"/>
      <c r="F176" s="7" t="inlineStr">
        <is>
          <t>Hồ sơ NMS</t>
        </is>
      </c>
      <c r="G176" s="7" t="inlineStr"/>
      <c r="H176" s="11" t="inlineStr"/>
      <c r="I176" s="11" t="inlineStr"/>
    </row>
    <row r="177">
      <c r="A177" s="7" t="inlineStr">
        <is>
          <t>6.12</t>
        </is>
      </c>
      <c r="B177" s="7" t="inlineStr">
        <is>
          <t>Quản lý hạ tầng mạng</t>
        </is>
      </c>
      <c r="C177" s="7" t="inlineStr">
        <is>
          <t>6.12.2.2 a)</t>
        </is>
      </c>
      <c r="D177" s="7" t="inlineStr">
        <is>
          <t>WAF (hoặc tương đương) cho ứng dụng web (nếu có)</t>
        </is>
      </c>
      <c r="E177" s="11" t="inlineStr"/>
      <c r="F177" s="7" t="inlineStr">
        <is>
          <t>Cấu hình WAF</t>
        </is>
      </c>
      <c r="G177" s="7" t="inlineStr"/>
      <c r="H177" s="11" t="inlineStr"/>
      <c r="I177" s="11" t="inlineStr"/>
    </row>
    <row r="178">
      <c r="A178" s="7" t="inlineStr">
        <is>
          <t>6.12</t>
        </is>
      </c>
      <c r="B178" s="7" t="inlineStr">
        <is>
          <t>Quản lý hạ tầng mạng</t>
        </is>
      </c>
      <c r="C178" s="7" t="inlineStr">
        <is>
          <t>6.12.2.2 a)</t>
        </is>
      </c>
      <c r="D178" s="7" t="inlineStr">
        <is>
          <t>Chống tấn công từ chối dịch vụ (dịch vụ, sản phẩm hoặc tương đương)</t>
        </is>
      </c>
      <c r="E178" s="11" t="inlineStr"/>
      <c r="F178" s="7" t="inlineStr">
        <is>
          <t>Hợp đồng/cấu hình anti-DDoS</t>
        </is>
      </c>
      <c r="G178" s="7" t="inlineStr"/>
      <c r="H178" s="11" t="inlineStr"/>
      <c r="I178" s="11" t="inlineStr"/>
    </row>
    <row r="179">
      <c r="A179" s="7" t="inlineStr">
        <is>
          <t>6.12</t>
        </is>
      </c>
      <c r="B179" s="7" t="inlineStr">
        <is>
          <t>Quản lý hạ tầng mạng</t>
        </is>
      </c>
      <c r="C179" s="7" t="inlineStr">
        <is>
          <t>6.12.2.2 a)</t>
        </is>
      </c>
      <c r="D179" s="7" t="inlineStr">
        <is>
          <t>Data diode/cổng bảo mật một chiều, hai chiều (hoặc tương đương) giữa vùng lõi, OT và vùng tin cậy thấp</t>
        </is>
      </c>
      <c r="E179" s="11" t="inlineStr"/>
      <c r="F179" s="7" t="inlineStr">
        <is>
          <t>Sơ đồ phân vùng, hồ sơ thiết bị</t>
        </is>
      </c>
      <c r="G179" s="7" t="inlineStr">
        <is>
          <t>Mới/khác so với cấp 3</t>
        </is>
      </c>
      <c r="H179" s="11" t="inlineStr"/>
      <c r="I179" s="11" t="inlineStr"/>
    </row>
    <row r="180">
      <c r="A180" s="7" t="inlineStr">
        <is>
          <t>6.12</t>
        </is>
      </c>
      <c r="B180" s="7" t="inlineStr">
        <is>
          <t>Quản lý hạ tầng mạng</t>
        </is>
      </c>
      <c r="C180" s="7" t="inlineStr">
        <is>
          <t>6.12.2.2 a)</t>
        </is>
      </c>
      <c r="D180" s="7" t="inlineStr">
        <is>
          <t>Cập nhật định kỳ CSDL nhận diện tấn công cho các giải pháp ANM</t>
        </is>
      </c>
      <c r="E180" s="11" t="inlineStr"/>
      <c r="F180" s="7" t="inlineStr">
        <is>
          <t>Nhật ký cập nhật signature</t>
        </is>
      </c>
      <c r="G180" s="7" t="inlineStr"/>
      <c r="H180" s="11" t="inlineStr"/>
      <c r="I180" s="11" t="inlineStr"/>
    </row>
    <row r="181">
      <c r="A181" s="7" t="inlineStr">
        <is>
          <t>6.12</t>
        </is>
      </c>
      <c r="B181" s="7" t="inlineStr">
        <is>
          <t>Quản lý hạ tầng mạng</t>
        </is>
      </c>
      <c r="C181" s="7" t="inlineStr">
        <is>
          <t>6.12.2.2 a)</t>
        </is>
      </c>
      <c r="D181" s="7" t="inlineStr">
        <is>
          <t>Quản lý thay đổi; quy định việc kết nối/gỡ máy chủ, dịch vụ, thiết bị khỏi hệ thống</t>
        </is>
      </c>
      <c r="E181" s="11" t="inlineStr"/>
      <c r="F181" s="7" t="inlineStr">
        <is>
          <t>Phiếu thay đổi (change request)</t>
        </is>
      </c>
      <c r="G181" s="7" t="inlineStr">
        <is>
          <t>Mới/khác so với cấp 3</t>
        </is>
      </c>
      <c r="H181" s="11" t="inlineStr"/>
      <c r="I181" s="11" t="inlineStr"/>
    </row>
    <row r="182">
      <c r="A182" s="7" t="inlineStr">
        <is>
          <t>6.12</t>
        </is>
      </c>
      <c r="B182" s="7" t="inlineStr">
        <is>
          <t>Quản lý hạ tầng mạng</t>
        </is>
      </c>
      <c r="C182" s="7" t="inlineStr">
        <is>
          <t>6.12.2.2 a)</t>
        </is>
      </c>
      <c r="D182" s="7" t="inlineStr">
        <is>
          <t>Theo dõi hiệu năng (CPU, RAM…) để bảo đảm hoạt động bình thường</t>
        </is>
      </c>
      <c r="E182" s="11" t="inlineStr"/>
      <c r="F182" s="7" t="inlineStr">
        <is>
          <t>Dashboard giám sát</t>
        </is>
      </c>
      <c r="G182" s="7" t="inlineStr"/>
      <c r="H182" s="11" t="inlineStr"/>
      <c r="I182" s="11" t="inlineStr"/>
    </row>
    <row r="183">
      <c r="A183" s="7" t="inlineStr">
        <is>
          <t>6.12</t>
        </is>
      </c>
      <c r="B183" s="7" t="inlineStr">
        <is>
          <t>Quản lý hạ tầng mạng</t>
        </is>
      </c>
      <c r="C183" s="7" t="inlineStr">
        <is>
          <t>6.12.2.2 b)</t>
        </is>
      </c>
      <c r="D183" s="7" t="inlineStr">
        <is>
          <t>Phân vùng tối thiểu: như cấp 3 + WAN (nếu có) + vùng quản trị thiết bị hệ thống</t>
        </is>
      </c>
      <c r="E183" s="11" t="inlineStr"/>
      <c r="F183" s="7" t="inlineStr">
        <is>
          <t>Sơ đồ phân vùng, ACL giữa vùng</t>
        </is>
      </c>
      <c r="G183" s="7" t="inlineStr">
        <is>
          <t>Mới/khác so với cấp 3</t>
        </is>
      </c>
      <c r="H183" s="11" t="inlineStr"/>
      <c r="I183" s="11" t="inlineStr"/>
    </row>
    <row r="184">
      <c r="A184" s="7" t="inlineStr">
        <is>
          <t>6.12</t>
        </is>
      </c>
      <c r="B184" s="7" t="inlineStr">
        <is>
          <t>Quản lý hạ tầng mạng</t>
        </is>
      </c>
      <c r="C184" s="7" t="inlineStr">
        <is>
          <t>6.12.2.3</t>
        </is>
      </c>
      <c r="D184" s="7" t="inlineStr">
        <is>
          <t>Chỉ dùng giao thức truyền thông, quản trị an toàn, chưa bị công bố điểm yếu</t>
        </is>
      </c>
      <c r="E184" s="11" t="inlineStr"/>
      <c r="F184" s="7" t="inlineStr">
        <is>
          <t>Kết quả quét giao thức yếu</t>
        </is>
      </c>
      <c r="G184" s="7" t="inlineStr">
        <is>
          <t>Mới/khác so với cấp 3</t>
        </is>
      </c>
      <c r="H184" s="11" t="inlineStr"/>
      <c r="I184" s="11" t="inlineStr"/>
    </row>
    <row r="185">
      <c r="A185" s="7" t="inlineStr">
        <is>
          <t>6.12</t>
        </is>
      </c>
      <c r="B185" s="7" t="inlineStr">
        <is>
          <t>Quản lý hạ tầng mạng</t>
        </is>
      </c>
      <c r="C185" s="7" t="inlineStr">
        <is>
          <t>6.12.2.4 a)</t>
        </is>
      </c>
      <c r="D185" s="7" t="inlineStr">
        <is>
          <t>Chỉ cho phép kết nối an toàn khi truy cập nội bộ hoặc quản trị từ xa</t>
        </is>
      </c>
      <c r="E185" s="11" t="inlineStr"/>
      <c r="F185" s="7" t="inlineStr">
        <is>
          <t>Cấu hình SSH/TLS, tắt Telnet/HTTP</t>
        </is>
      </c>
      <c r="G185" s="7" t="inlineStr"/>
      <c r="H185" s="11" t="inlineStr"/>
      <c r="I185" s="11" t="inlineStr"/>
    </row>
    <row r="186">
      <c r="A186" s="7" t="inlineStr">
        <is>
          <t>6.12</t>
        </is>
      </c>
      <c r="B186" s="7" t="inlineStr">
        <is>
          <t>Quản lý hạ tầng mạng</t>
        </is>
      </c>
      <c r="C186" s="7" t="inlineStr">
        <is>
          <t>6.12.2.4 b)</t>
        </is>
      </c>
      <c r="D186" s="7" t="inlineStr">
        <is>
          <t>Thiết bị phải yêu cầu đăng nhập khi quản trị tại chỗ cũng như từ xa</t>
        </is>
      </c>
      <c r="E186" s="11" t="inlineStr"/>
      <c r="F186" s="7" t="inlineStr">
        <is>
          <t>Cấu hình xác thực thiết bị</t>
        </is>
      </c>
      <c r="G186" s="7" t="inlineStr"/>
      <c r="H186" s="11" t="inlineStr"/>
      <c r="I186" s="11" t="inlineStr"/>
    </row>
    <row r="187">
      <c r="A187" s="7" t="inlineStr">
        <is>
          <t>6.12</t>
        </is>
      </c>
      <c r="B187" s="7" t="inlineStr">
        <is>
          <t>Quản lý hạ tầng mạng</t>
        </is>
      </c>
      <c r="C187" s="7" t="inlineStr">
        <is>
          <t>6.12.2.4 c)</t>
        </is>
      </c>
      <c r="D187" s="7" t="inlineStr">
        <is>
          <t>Kiểm soát truy cập cả chiều vào và chiều ra theo từng dịch vụ; chặn mọi truy cập không được phép</t>
        </is>
      </c>
      <c r="E187" s="11" t="inlineStr"/>
      <c r="F187" s="7" t="inlineStr">
        <is>
          <t>Rule firewall</t>
        </is>
      </c>
      <c r="G187" s="7" t="inlineStr"/>
      <c r="H187" s="11" t="inlineStr"/>
      <c r="I187" s="11" t="inlineStr"/>
    </row>
    <row r="188">
      <c r="A188" s="7" t="inlineStr">
        <is>
          <t>6.12</t>
        </is>
      </c>
      <c r="B188" s="7" t="inlineStr">
        <is>
          <t>Quản lý hạ tầng mạng</t>
        </is>
      </c>
      <c r="C188" s="7" t="inlineStr">
        <is>
          <t>6.12.2.4 d)</t>
        </is>
      </c>
      <c r="D188" s="7" t="inlineStr">
        <is>
          <t>Đặt timeout tự đóng phiên kết nối không hoạt động</t>
        </is>
      </c>
      <c r="E188" s="11" t="inlineStr"/>
      <c r="F188" s="7" t="inlineStr">
        <is>
          <t>Cấu hình timeout</t>
        </is>
      </c>
      <c r="G188" s="7" t="inlineStr"/>
      <c r="H188" s="11" t="inlineStr"/>
      <c r="I188" s="11" t="inlineStr"/>
    </row>
    <row r="189">
      <c r="A189" s="7" t="inlineStr">
        <is>
          <t>6.12</t>
        </is>
      </c>
      <c r="B189" s="7" t="inlineStr">
        <is>
          <t>Quản lý hạ tầng mạng</t>
        </is>
      </c>
      <c r="C189" s="7" t="inlineStr">
        <is>
          <t>6.12.2.4 e)</t>
        </is>
      </c>
      <c r="D189" s="7" t="inlineStr">
        <is>
          <t>Giới hạn số kết nối đồng thời theo nguồn và theo dịch vụ (linh hoạt nếu có biện pháp tương đương)</t>
        </is>
      </c>
      <c r="E189" s="11" t="inlineStr"/>
      <c r="F189" s="7" t="inlineStr">
        <is>
          <t>Cấu hình rate/conn limit</t>
        </is>
      </c>
      <c r="G189" s="7" t="inlineStr"/>
      <c r="H189" s="11" t="inlineStr"/>
      <c r="I189" s="11" t="inlineStr"/>
    </row>
    <row r="190">
      <c r="A190" s="7" t="inlineStr">
        <is>
          <t>6.12</t>
        </is>
      </c>
      <c r="B190" s="7" t="inlineStr">
        <is>
          <t>Quản lý hạ tầng mạng</t>
        </is>
      </c>
      <c r="C190" s="7" t="inlineStr">
        <is>
          <t>6.12.2.4 f)</t>
        </is>
      </c>
      <c r="D190" s="7" t="inlineStr">
        <is>
          <t>Kiểm soát truy cập của người dùng vào dịch vụ, máy chủ nội bộ theo chính sách</t>
        </is>
      </c>
      <c r="E190" s="11" t="inlineStr"/>
      <c r="F190" s="7" t="inlineStr">
        <is>
          <t>Chính sách truy cập</t>
        </is>
      </c>
      <c r="G190" s="7" t="inlineStr"/>
      <c r="H190" s="11" t="inlineStr"/>
      <c r="I190" s="11" t="inlineStr"/>
    </row>
    <row r="191">
      <c r="A191" s="7" t="inlineStr">
        <is>
          <t>6.12</t>
        </is>
      </c>
      <c r="B191" s="7" t="inlineStr">
        <is>
          <t>Quản lý hạ tầng mạng</t>
        </is>
      </c>
      <c r="C191" s="7" t="inlineStr">
        <is>
          <t>6.12.2.4 g)</t>
        </is>
      </c>
      <c r="D191" s="7" t="inlineStr">
        <is>
          <t>Chặn hoặc hạn chế máy chủ truy cập ra mạng ngoài theo chức năng</t>
        </is>
      </c>
      <c r="E191" s="11" t="inlineStr"/>
      <c r="F191" s="7" t="inlineStr">
        <is>
          <t>Rule egress</t>
        </is>
      </c>
      <c r="G191" s="7" t="inlineStr">
        <is>
          <t>Mới/khác so với cấp 3</t>
        </is>
      </c>
      <c r="H191" s="11" t="inlineStr"/>
      <c r="I191" s="11" t="inlineStr"/>
    </row>
    <row r="192">
      <c r="A192" s="7" t="inlineStr">
        <is>
          <t>6.12</t>
        </is>
      </c>
      <c r="B192" s="7" t="inlineStr">
        <is>
          <t>Quản lý hạ tầng mạng</t>
        </is>
      </c>
      <c r="C192" s="7" t="inlineStr">
        <is>
          <t>6.12.2.5</t>
        </is>
      </c>
      <c r="D192" s="7" t="inlineStr">
        <is>
          <t>Truy cập từ xa của quản trị viên, người dùng tác nghiệp qua VPN, ZTNA (hoặc tương đương) có xác thực</t>
        </is>
      </c>
      <c r="E192" s="11" t="inlineStr"/>
      <c r="F192" s="7" t="inlineStr">
        <is>
          <t>Cấu hình VPN/ZTNA</t>
        </is>
      </c>
      <c r="G192" s="7" t="inlineStr">
        <is>
          <t>Mới/khác so với cấp 3</t>
        </is>
      </c>
      <c r="H192" s="11" t="inlineStr"/>
      <c r="I192" s="11" t="inlineStr"/>
    </row>
    <row r="193">
      <c r="A193" s="7" t="inlineStr">
        <is>
          <t>6.12</t>
        </is>
      </c>
      <c r="B193" s="7" t="inlineStr">
        <is>
          <t>Quản lý hạ tầng mạng</t>
        </is>
      </c>
      <c r="C193" s="7" t="inlineStr">
        <is>
          <t>6.12.2.5</t>
        </is>
      </c>
      <c r="D193" s="7" t="inlineStr">
        <is>
          <t>Kết nối từ xa phải xác thực MFA và xác thực bổ sung trước khi vào hệ thống</t>
        </is>
      </c>
      <c r="E193" s="11" t="inlineStr"/>
      <c r="F193" s="7" t="inlineStr">
        <is>
          <t>Cấu hình MFA VPN</t>
        </is>
      </c>
      <c r="G193" s="7" t="inlineStr">
        <is>
          <t>Mới/khác so với cấp 3</t>
        </is>
      </c>
      <c r="H193" s="11" t="inlineStr"/>
      <c r="I193" s="11" t="inlineStr"/>
    </row>
    <row r="194">
      <c r="A194" s="7" t="inlineStr">
        <is>
          <t>6.12</t>
        </is>
      </c>
      <c r="B194" s="7" t="inlineStr">
        <is>
          <t>Quản lý hạ tầng mạng</t>
        </is>
      </c>
      <c r="C194" s="7" t="inlineStr">
        <is>
          <t>6.12.2.5</t>
        </is>
      </c>
      <c r="D194" s="7" t="inlineStr">
        <is>
          <t>Thiết bị truy cập từ xa phải có chống mã độc và cấu hình theo chính sách của tổ chức</t>
        </is>
      </c>
      <c r="E194" s="11" t="inlineStr"/>
      <c r="F194" s="7" t="inlineStr">
        <is>
          <t>Chính sách posture check</t>
        </is>
      </c>
      <c r="G194" s="7" t="inlineStr">
        <is>
          <t>Mới/khác so với cấp 3</t>
        </is>
      </c>
      <c r="H194" s="11" t="inlineStr"/>
      <c r="I194" s="11" t="inlineStr"/>
    </row>
    <row r="195">
      <c r="A195" s="7" t="inlineStr">
        <is>
          <t>6.12</t>
        </is>
      </c>
      <c r="B195" s="7" t="inlineStr">
        <is>
          <t>Quản lý hạ tầng mạng</t>
        </is>
      </c>
      <c r="C195" s="7" t="inlineStr">
        <is>
          <t>6.12.2.5</t>
        </is>
      </c>
      <c r="D195" s="7" t="inlineStr">
        <is>
          <t>Giới hạn dải địa chỉ/thiết bị được phép quản trị từ xa</t>
        </is>
      </c>
      <c r="E195" s="11" t="inlineStr"/>
      <c r="F195" s="7" t="inlineStr">
        <is>
          <t>ACL quản trị</t>
        </is>
      </c>
      <c r="G195" s="7" t="inlineStr">
        <is>
          <t>Mới/khác so với cấp 3</t>
        </is>
      </c>
      <c r="H195" s="11" t="inlineStr"/>
      <c r="I195" s="11" t="inlineStr"/>
    </row>
    <row r="196">
      <c r="A196" s="7" t="inlineStr">
        <is>
          <t>6.12</t>
        </is>
      </c>
      <c r="B196" s="7" t="inlineStr">
        <is>
          <t>Quản lý hạ tầng mạng</t>
        </is>
      </c>
      <c r="C196" s="7" t="inlineStr">
        <is>
          <t>6.12.2.5</t>
        </is>
      </c>
      <c r="D196" s="7" t="inlineStr">
        <is>
          <t>Cấm quản trị trực tiếp từ mạng ngoài; bắt buộc qua máy quản trị nội bộ (jump host) bằng kết nối an toàn</t>
        </is>
      </c>
      <c r="E196" s="11" t="inlineStr"/>
      <c r="F196" s="7" t="inlineStr">
        <is>
          <t>Sơ đồ jump host</t>
        </is>
      </c>
      <c r="G196" s="7" t="inlineStr">
        <is>
          <t>Mới/khác so với cấp 3</t>
        </is>
      </c>
      <c r="H196" s="11" t="inlineStr"/>
      <c r="I196" s="11" t="inlineStr"/>
    </row>
    <row r="197">
      <c r="A197" s="7" t="inlineStr">
        <is>
          <t>6.12</t>
        </is>
      </c>
      <c r="B197" s="7" t="inlineStr">
        <is>
          <t>Quản lý hạ tầng mạng</t>
        </is>
      </c>
      <c r="C197" s="7" t="inlineStr">
        <is>
          <t>6.12.2.6</t>
        </is>
      </c>
      <c r="D197" s="7" t="inlineStr">
        <is>
          <t>Tài nguyên dành riêng cho quản trị, tách vật lý/logic khỏi mạng chính, không nối Internet</t>
        </is>
      </c>
      <c r="E197" s="11" t="inlineStr"/>
      <c r="F197" s="7" t="inlineStr">
        <is>
          <t>Sơ đồ mạng quản trị (OOB)</t>
        </is>
      </c>
      <c r="G197" s="7" t="inlineStr">
        <is>
          <t>Mới/khác so với cấp 3</t>
        </is>
      </c>
      <c r="H197" s="11" t="inlineStr"/>
      <c r="I197" s="11" t="inlineStr"/>
    </row>
    <row r="198">
      <c r="A198" s="7" t="inlineStr">
        <is>
          <t>6.12</t>
        </is>
      </c>
      <c r="B198" s="7" t="inlineStr">
        <is>
          <t>Quản lý hạ tầng mạng</t>
        </is>
      </c>
      <c r="C198" s="7" t="inlineStr">
        <is>
          <t>6.12.2.7 a)</t>
        </is>
      </c>
      <c r="D198" s="7" t="inlineStr">
        <is>
          <t>Thử nghiệm, nghiệm thu trước khi bàn giao và đưa vào sử dụng</t>
        </is>
      </c>
      <c r="E198" s="11" t="inlineStr"/>
      <c r="F198" s="7" t="inlineStr">
        <is>
          <t>Hồ sơ nghiệm thu</t>
        </is>
      </c>
      <c r="G198" s="7" t="inlineStr">
        <is>
          <t>Mới/khác so với cấp 3</t>
        </is>
      </c>
      <c r="H198" s="11" t="inlineStr"/>
      <c r="I198" s="11" t="inlineStr"/>
    </row>
    <row r="199">
      <c r="A199" s="7" t="inlineStr">
        <is>
          <t>6.12</t>
        </is>
      </c>
      <c r="B199" s="7" t="inlineStr">
        <is>
          <t>Quản lý hạ tầng mạng</t>
        </is>
      </c>
      <c r="C199" s="7" t="inlineStr">
        <is>
          <t>6.12.2.7 b)</t>
        </is>
      </c>
      <c r="D199" s="7" t="inlineStr">
        <is>
          <t>Lập kế hoạch và quy trình kiểm thử, nghiệm thu (nêu rõ nội dung cần thử)</t>
        </is>
      </c>
      <c r="E199" s="11" t="inlineStr"/>
      <c r="F199" s="7" t="inlineStr">
        <is>
          <t>Kế hoạch thử nghiệm</t>
        </is>
      </c>
      <c r="G199" s="7" t="inlineStr"/>
      <c r="H199" s="11" t="inlineStr"/>
      <c r="I199" s="11" t="inlineStr"/>
    </row>
    <row r="200">
      <c r="A200" s="7" t="inlineStr">
        <is>
          <t>6.12</t>
        </is>
      </c>
      <c r="B200" s="7" t="inlineStr">
        <is>
          <t>Quản lý hạ tầng mạng</t>
        </is>
      </c>
      <c r="C200" s="7" t="inlineStr">
        <is>
          <t>6.12.2.7 c)</t>
        </is>
      </c>
      <c r="D200" s="7" t="inlineStr">
        <is>
          <t>Đơn vị/bộ phận độc lập tư vấn, giám sát quá trình thử nghiệm, nghiệm thu</t>
        </is>
      </c>
      <c r="E200" s="11" t="inlineStr"/>
      <c r="F200" s="7" t="inlineStr">
        <is>
          <t>Hợp đồng/quyết định giám sát độc lập</t>
        </is>
      </c>
      <c r="G200" s="7" t="inlineStr"/>
      <c r="H200" s="11" t="inlineStr"/>
      <c r="I200" s="11" t="inlineStr"/>
    </row>
    <row r="201">
      <c r="A201" s="7" t="inlineStr">
        <is>
          <t>6.12</t>
        </is>
      </c>
      <c r="B201" s="7" t="inlineStr">
        <is>
          <t>Quản lý hạ tầng mạng</t>
        </is>
      </c>
      <c r="C201" s="7" t="inlineStr">
        <is>
          <t>6.12.2.7 d)</t>
        </is>
      </c>
      <c r="D201" s="7" t="inlineStr">
        <is>
          <t>Kiểm thử hệ thống trước khi đưa vào vận hành</t>
        </is>
      </c>
      <c r="E201" s="11" t="inlineStr"/>
      <c r="F201" s="7" t="inlineStr">
        <is>
          <t>Báo cáo kiểm thử</t>
        </is>
      </c>
      <c r="G201" s="7" t="inlineStr"/>
      <c r="H201" s="11" t="inlineStr"/>
      <c r="I201" s="11" t="inlineStr"/>
    </row>
    <row r="202">
      <c r="A202" s="7" t="inlineStr">
        <is>
          <t>6.12</t>
        </is>
      </c>
      <c r="B202" s="7" t="inlineStr">
        <is>
          <t>Quản lý hạ tầng mạng</t>
        </is>
      </c>
      <c r="C202" s="7" t="inlineStr">
        <is>
          <t>6.12.2.7 e)</t>
        </is>
      </c>
      <c r="D202" s="7" t="inlineStr">
        <is>
          <t>Biên bản nghiệm thu được bộ phận chuyên trách xác nhận, chủ quản phê duyệt rồi mới đưa vào dùng</t>
        </is>
      </c>
      <c r="E202" s="11" t="inlineStr"/>
      <c r="F202" s="7" t="inlineStr">
        <is>
          <t>Báo cáo nghiệm thu đã phê duyệt</t>
        </is>
      </c>
      <c r="G202" s="7" t="inlineStr"/>
      <c r="H202" s="11" t="inlineStr"/>
      <c r="I202" s="11" t="inlineStr"/>
    </row>
    <row r="203">
      <c r="A203" s="7" t="inlineStr">
        <is>
          <t>6.13</t>
        </is>
      </c>
      <c r="B203" s="7" t="inlineStr">
        <is>
          <t>Giám sát và phòng thủ an ninh mạng</t>
        </is>
      </c>
      <c r="C203" s="7" t="inlineStr">
        <is>
          <t>6.13.2.1 a)</t>
        </is>
      </c>
      <c r="D203" s="7" t="inlineStr">
        <is>
          <t>Giám sát ANM tối thiểu với thiết bị hệ thống, máy chủ, ứng dụng, dịch vụ</t>
        </is>
      </c>
      <c r="E203" s="11" t="inlineStr"/>
      <c r="F203" s="7" t="inlineStr">
        <is>
          <t>Danh sách đối tượng giám sát</t>
        </is>
      </c>
      <c r="G203" s="7" t="inlineStr"/>
      <c r="H203" s="11" t="inlineStr"/>
      <c r="I203" s="11" t="inlineStr"/>
    </row>
    <row r="204">
      <c r="A204" s="7" t="inlineStr">
        <is>
          <t>6.13</t>
        </is>
      </c>
      <c r="B204" s="7" t="inlineStr">
        <is>
          <t>Giám sát và phòng thủ an ninh mạng</t>
        </is>
      </c>
      <c r="C204" s="7" t="inlineStr">
        <is>
          <t>6.13.2.1 b)</t>
        </is>
      </c>
      <c r="D204" s="7" t="inlineStr">
        <is>
          <t>SIEM tương quan sự kiện, phân tích theo hướng dẫn của cơ quan có thẩm quyền</t>
        </is>
      </c>
      <c r="E204" s="11" t="inlineStr"/>
      <c r="F204" s="7" t="inlineStr">
        <is>
          <t>Use case/rule SIEM</t>
        </is>
      </c>
      <c r="G204" s="7" t="inlineStr"/>
      <c r="H204" s="11" t="inlineStr"/>
      <c r="I204" s="11" t="inlineStr"/>
    </row>
    <row r="205">
      <c r="A205" s="7" t="inlineStr">
        <is>
          <t>6.13</t>
        </is>
      </c>
      <c r="B205" s="7" t="inlineStr">
        <is>
          <t>Giám sát và phòng thủ an ninh mạng</t>
        </is>
      </c>
      <c r="C205" s="7" t="inlineStr">
        <is>
          <t>6.13.2.1 c)</t>
        </is>
      </c>
      <c r="D205" s="7" t="inlineStr">
        <is>
          <t>Bố trí nguồn lực giám sát ANM 24/7</t>
        </is>
      </c>
      <c r="E205" s="11" t="inlineStr"/>
      <c r="F205" s="7" t="inlineStr">
        <is>
          <t>Lịch trực, hợp đồng SOC</t>
        </is>
      </c>
      <c r="G205" s="7" t="inlineStr">
        <is>
          <t>Mới/khác so với cấp 3</t>
        </is>
      </c>
      <c r="H205" s="11" t="inlineStr"/>
      <c r="I205" s="11" t="inlineStr"/>
    </row>
    <row r="206">
      <c r="A206" s="7" t="inlineStr">
        <is>
          <t>6.13</t>
        </is>
      </c>
      <c r="B206" s="7" t="inlineStr">
        <is>
          <t>Giám sát và phòng thủ an ninh mạng</t>
        </is>
      </c>
      <c r="C206" s="7" t="inlineStr">
        <is>
          <t>6.13.2.2</t>
        </is>
      </c>
      <c r="D206" s="7" t="inlineStr">
        <is>
          <t>Bật tường lửa, phát hiện/ngăn chặn xâm nhập của HĐH và hệ thống (nếu có)</t>
        </is>
      </c>
      <c r="E206" s="11" t="inlineStr"/>
      <c r="F206" s="7" t="inlineStr">
        <is>
          <t>Cấu hình host firewall/HIPS</t>
        </is>
      </c>
      <c r="G206" s="7" t="inlineStr"/>
      <c r="H206" s="11" t="inlineStr"/>
      <c r="I206" s="11" t="inlineStr"/>
    </row>
    <row r="207">
      <c r="A207" s="7" t="inlineStr">
        <is>
          <t>6.13</t>
        </is>
      </c>
      <c r="B207" s="7" t="inlineStr">
        <is>
          <t>Giám sát và phòng thủ an ninh mạng</t>
        </is>
      </c>
      <c r="C207" s="7" t="inlineStr">
        <is>
          <t>6.13.2.3 a)</t>
        </is>
      </c>
      <c r="D207" s="7" t="inlineStr">
        <is>
          <t>Kiểm soát truy cập cổng kết nối trên thiết bị mạng (nếu hỗ trợ)</t>
        </is>
      </c>
      <c r="E207" s="11" t="inlineStr"/>
      <c r="F207" s="7" t="inlineStr">
        <is>
          <t>Cấu hình port security</t>
        </is>
      </c>
      <c r="G207" s="7" t="inlineStr"/>
      <c r="H207" s="11" t="inlineStr"/>
      <c r="I207" s="11" t="inlineStr"/>
    </row>
    <row r="208">
      <c r="A208" s="7" t="inlineStr">
        <is>
          <t>6.13</t>
        </is>
      </c>
      <c r="B208" s="7" t="inlineStr">
        <is>
          <t>Giám sát và phòng thủ an ninh mạng</t>
        </is>
      </c>
      <c r="C208" s="7" t="inlineStr">
        <is>
          <t>6.13.2.3 b)</t>
        </is>
      </c>
      <c r="D208" s="7" t="inlineStr">
        <is>
          <t>Tách cổng quản trị ứng dụng khỏi cổng cung cấp dịch vụ</t>
        </is>
      </c>
      <c r="E208" s="11" t="inlineStr"/>
      <c r="F208" s="7" t="inlineStr">
        <is>
          <t>Cấu hình cổng</t>
        </is>
      </c>
      <c r="G208" s="7" t="inlineStr"/>
      <c r="H208" s="11" t="inlineStr"/>
      <c r="I208" s="11" t="inlineStr"/>
    </row>
    <row r="209">
      <c r="A209" s="7" t="inlineStr">
        <is>
          <t>6.13</t>
        </is>
      </c>
      <c r="B209" s="7" t="inlineStr">
        <is>
          <t>Giám sát và phòng thủ an ninh mạng</t>
        </is>
      </c>
      <c r="C209" s="7" t="inlineStr">
        <is>
          <t>6.13.2.4</t>
        </is>
      </c>
      <c r="D209" s="7" t="inlineStr">
        <is>
          <t>Thu thập flow/lưu lượng mạng để rà soát, cảnh báo</t>
        </is>
      </c>
      <c r="E209" s="11" t="inlineStr"/>
      <c r="F209" s="7" t="inlineStr">
        <is>
          <t>Cấu hình NetFlow/NDR</t>
        </is>
      </c>
      <c r="G209" s="7" t="inlineStr"/>
      <c r="H209" s="11" t="inlineStr"/>
      <c r="I209" s="11" t="inlineStr"/>
    </row>
    <row r="210">
      <c r="A210" s="7" t="inlineStr">
        <is>
          <t>6.13</t>
        </is>
      </c>
      <c r="B210" s="7" t="inlineStr">
        <is>
          <t>Giám sát và phòng thủ an ninh mạng</t>
        </is>
      </c>
      <c r="C210" s="7" t="inlineStr">
        <is>
          <t>6.13.2.5</t>
        </is>
      </c>
      <c r="D210" s="7" t="inlineStr">
        <is>
          <t>Tinh chỉnh ngưỡng cảnh báo ≥ 1 lần/quý</t>
        </is>
      </c>
      <c r="E210" s="11" t="inlineStr"/>
      <c r="F210" s="7" t="inlineStr">
        <is>
          <t>Nhật ký tinh chỉnh rule</t>
        </is>
      </c>
      <c r="G210" s="7" t="inlineStr">
        <is>
          <t>Mới/khác so với cấp 3</t>
        </is>
      </c>
      <c r="H210" s="11" t="inlineStr"/>
      <c r="I210" s="11" t="inlineStr"/>
    </row>
    <row r="211">
      <c r="A211" s="7" t="inlineStr">
        <is>
          <t>6.14</t>
        </is>
      </c>
      <c r="B211" s="7" t="inlineStr">
        <is>
          <t>Nhân sự vận hành, quản trị, bảo vệ an ninh mạng</t>
        </is>
      </c>
      <c r="C211" s="7" t="inlineStr">
        <is>
          <t>6.14.1 c)</t>
        </is>
      </c>
      <c r="D211" s="7" t="inlineStr">
        <is>
          <t>Trình độ chuyên môn phù hợp với từng bộ phận</t>
        </is>
      </c>
      <c r="E211" s="11" t="inlineStr"/>
      <c r="F211" s="7" t="inlineStr">
        <is>
          <t>Hồ sơ năng lực</t>
        </is>
      </c>
      <c r="G211" s="7" t="inlineStr">
        <is>
          <t>Mới/khác so với cấp 3</t>
        </is>
      </c>
      <c r="H211" s="11" t="inlineStr"/>
      <c r="I211" s="11" t="inlineStr"/>
    </row>
    <row r="212">
      <c r="A212" s="7" t="inlineStr">
        <is>
          <t>6.14</t>
        </is>
      </c>
      <c r="B212" s="7" t="inlineStr">
        <is>
          <t>Nhân sự vận hành, quản trị, bảo vệ an ninh mạng</t>
        </is>
      </c>
      <c r="C212" s="7" t="inlineStr">
        <is>
          <t>6.14.2.1 a)</t>
        </is>
      </c>
      <c r="D212" s="7" t="inlineStr">
        <is>
          <t>Thành lập bộ phận riêng cho vận hành, quản trị hệ thống và bảo vệ ANM</t>
        </is>
      </c>
      <c r="E212" s="11" t="inlineStr"/>
      <c r="F212" s="7" t="inlineStr">
        <is>
          <t>Quyết định thành lập, sơ đồ tổ chức</t>
        </is>
      </c>
      <c r="G212" s="7" t="inlineStr"/>
      <c r="H212" s="11" t="inlineStr"/>
      <c r="I212" s="11" t="inlineStr"/>
    </row>
    <row r="213">
      <c r="A213" s="7" t="inlineStr">
        <is>
          <t>6.14</t>
        </is>
      </c>
      <c r="B213" s="7" t="inlineStr">
        <is>
          <t>Nhân sự vận hành, quản trị, bảo vệ an ninh mạng</t>
        </is>
      </c>
      <c r="C213" s="7" t="inlineStr">
        <is>
          <t>6.14.2.1 b)</t>
        </is>
      </c>
      <c r="D213" s="7" t="inlineStr">
        <is>
          <t>Các bộ phận vận hành, quản trị, bảo vệ ANM độc lập về chuyên môn</t>
        </is>
      </c>
      <c r="E213" s="11" t="inlineStr"/>
      <c r="F213" s="7" t="inlineStr">
        <is>
          <t>Quy chế phân định nhiệm vụ</t>
        </is>
      </c>
      <c r="G213" s="7" t="inlineStr"/>
      <c r="H213" s="11" t="inlineStr"/>
      <c r="I213" s="11" t="inlineStr"/>
    </row>
    <row r="214">
      <c r="A214" s="7" t="inlineStr">
        <is>
          <t>6.14</t>
        </is>
      </c>
      <c r="B214" s="7" t="inlineStr">
        <is>
          <t>Nhân sự vận hành, quản trị, bảo vệ an ninh mạng</t>
        </is>
      </c>
      <c r="C214" s="7" t="inlineStr">
        <is>
          <t>6.14.2.2 a)</t>
        </is>
      </c>
      <c r="D214" s="7" t="inlineStr">
        <is>
          <t>Chương trình nâng cao nhận thức ANM cho mọi người dùng HTTT</t>
        </is>
      </c>
      <c r="E214" s="11" t="inlineStr"/>
      <c r="F214" s="7" t="inlineStr">
        <is>
          <t>Tài liệu, danh sách tham dự</t>
        </is>
      </c>
      <c r="G214" s="7" t="inlineStr"/>
      <c r="H214" s="11" t="inlineStr"/>
      <c r="I214" s="11" t="inlineStr"/>
    </row>
    <row r="215">
      <c r="A215" s="7" t="inlineStr">
        <is>
          <t>6.14</t>
        </is>
      </c>
      <c r="B215" s="7" t="inlineStr">
        <is>
          <t>Nhân sự vận hành, quản trị, bảo vệ an ninh mạng</t>
        </is>
      </c>
      <c r="C215" s="7" t="inlineStr">
        <is>
          <t>6.14.2.2 b)</t>
        </is>
      </c>
      <c r="D215" s="7" t="inlineStr">
        <is>
          <t>Thu hồi thẻ, dữ liệu, thiết bị, tài sản khi nghỉ hoặc chuyển việc</t>
        </is>
      </c>
      <c r="E215" s="11" t="inlineStr"/>
      <c r="F215" s="7" t="inlineStr">
        <is>
          <t>Biên bản bàn giao</t>
        </is>
      </c>
      <c r="G215" s="7" t="inlineStr"/>
      <c r="H215" s="11" t="inlineStr"/>
      <c r="I215" s="11" t="inlineStr"/>
    </row>
    <row r="216">
      <c r="A216" s="7" t="inlineStr">
        <is>
          <t>6.14</t>
        </is>
      </c>
      <c r="B216" s="7" t="inlineStr">
        <is>
          <t>Nhân sự vận hành, quản trị, bảo vệ an ninh mạng</t>
        </is>
      </c>
      <c r="C216" s="7" t="inlineStr">
        <is>
          <t>6.14.2.2 c)</t>
        </is>
      </c>
      <c r="D216" s="7" t="inlineStr">
        <is>
          <t>Quy trình vô hiệu hóa mọi quyền ra vào, truy cập, quản trị khi thôi việc</t>
        </is>
      </c>
      <c r="E216" s="11" t="inlineStr"/>
      <c r="F216" s="7" t="inlineStr">
        <is>
          <t>Quy trình offboarding, log vô hiệu</t>
        </is>
      </c>
      <c r="G216" s="7" t="inlineStr"/>
      <c r="H216" s="11" t="inlineStr"/>
      <c r="I216" s="11" t="inlineStr"/>
    </row>
    <row r="217">
      <c r="A217" s="7" t="inlineStr">
        <is>
          <t>6.14</t>
        </is>
      </c>
      <c r="B217" s="7" t="inlineStr">
        <is>
          <t>Nhân sự vận hành, quản trị, bảo vệ an ninh mạng</t>
        </is>
      </c>
      <c r="C217" s="7" t="inlineStr">
        <is>
          <t>6.14.2.2 d)</t>
        </is>
      </c>
      <c r="D217" s="7" t="inlineStr">
        <is>
          <t>Cam kết giữ bí mật thông tin của tổ chức sau khi nghỉ việc</t>
        </is>
      </c>
      <c r="E217" s="11" t="inlineStr"/>
      <c r="F217" s="7" t="inlineStr">
        <is>
          <t>Cam kết đã ký</t>
        </is>
      </c>
      <c r="G217" s="7" t="inlineStr">
        <is>
          <t>Mới/khác so với cấp 3</t>
        </is>
      </c>
      <c r="H217" s="11" t="inlineStr"/>
      <c r="I217" s="11" t="inlineStr"/>
    </row>
    <row r="218">
      <c r="A218" s="7" t="inlineStr">
        <is>
          <t>6.14</t>
        </is>
      </c>
      <c r="B218" s="7" t="inlineStr">
        <is>
          <t>Nhân sự vận hành, quản trị, bảo vệ an ninh mạng</t>
        </is>
      </c>
      <c r="C218" s="7" t="inlineStr">
        <is>
          <t>6.14.2.2 e)</t>
        </is>
      </c>
      <c r="D218" s="7" t="inlineStr">
        <is>
          <t>Đào tạo nhận thức ≥ 1 lần/năm</t>
        </is>
      </c>
      <c r="E218" s="11" t="inlineStr"/>
      <c r="F218" s="7" t="inlineStr">
        <is>
          <t>Danh sách, bài kiểm tra</t>
        </is>
      </c>
      <c r="G218" s="7" t="inlineStr"/>
      <c r="H218" s="11" t="inlineStr"/>
      <c r="I218" s="11" t="inlineStr"/>
    </row>
    <row r="219">
      <c r="A219" s="7" t="inlineStr">
        <is>
          <t>6.14</t>
        </is>
      </c>
      <c r="B219" s="7" t="inlineStr">
        <is>
          <t>Nhân sự vận hành, quản trị, bảo vệ an ninh mạng</t>
        </is>
      </c>
      <c r="C219" s="7" t="inlineStr">
        <is>
          <t>6.14.2.3 a)</t>
        </is>
      </c>
      <c r="D219" s="7" t="inlineStr">
        <is>
          <t>Đào tạo chuyên môn ANM theo vị trí; kèm pháp luật và trách nhiệm pháp lý</t>
        </is>
      </c>
      <c r="E219" s="11" t="inlineStr"/>
      <c r="F219" s="7" t="inlineStr">
        <is>
          <t>Chương trình đào tạo theo vai trò</t>
        </is>
      </c>
      <c r="G219" s="7" t="inlineStr">
        <is>
          <t>Mới/khác so với cấp 3</t>
        </is>
      </c>
      <c r="H219" s="11" t="inlineStr"/>
      <c r="I219" s="11" t="inlineStr"/>
    </row>
    <row r="220">
      <c r="A220" s="7" t="inlineStr">
        <is>
          <t>6.14</t>
        </is>
      </c>
      <c r="B220" s="7" t="inlineStr">
        <is>
          <t>Nhân sự vận hành, quản trị, bảo vệ an ninh mạng</t>
        </is>
      </c>
      <c r="C220" s="7" t="inlineStr">
        <is>
          <t>6.14.2.3 b)</t>
        </is>
      </c>
      <c r="D220" s="7" t="inlineStr">
        <is>
          <t>Đào tạo chuyên môn ≥ 1 lần/năm hoặc khi thay đổi nhân sự</t>
        </is>
      </c>
      <c r="E220" s="11" t="inlineStr"/>
      <c r="F220" s="7" t="inlineStr">
        <is>
          <t>Chứng nhận/danh sách</t>
        </is>
      </c>
      <c r="G220" s="7" t="inlineStr">
        <is>
          <t>Mới/khác so với cấp 3</t>
        </is>
      </c>
      <c r="H220" s="11" t="inlineStr"/>
      <c r="I220" s="11" t="inlineStr"/>
    </row>
    <row r="221">
      <c r="A221" s="7" t="inlineStr">
        <is>
          <t>6.15</t>
        </is>
      </c>
      <c r="B221" s="7" t="inlineStr">
        <is>
          <t>Quản lý nhà cung cấp sản phẩm, dịch vụ</t>
        </is>
      </c>
      <c r="C221" s="7" t="inlineStr">
        <is>
          <t>6.15.1</t>
        </is>
      </c>
      <c r="D221" s="7" t="inlineStr">
        <is>
          <t>Quy trình đánh giá nhà cung cấp dịch vụ ANM, lưu trữ/xử lý dữ liệu nhạy cảm, nền tảng quan trọng</t>
        </is>
      </c>
      <c r="E221" s="11" t="inlineStr"/>
      <c r="F221" s="7" t="inlineStr">
        <is>
          <t>Quy trình đánh giá NCC</t>
        </is>
      </c>
      <c r="G221" s="7" t="inlineStr"/>
      <c r="H221" s="11" t="inlineStr"/>
      <c r="I221" s="11" t="inlineStr"/>
    </row>
    <row r="222">
      <c r="A222" s="7" t="inlineStr">
        <is>
          <t>6.15</t>
        </is>
      </c>
      <c r="B222" s="7" t="inlineStr">
        <is>
          <t>Quản lý nhà cung cấp sản phẩm, dịch vụ</t>
        </is>
      </c>
      <c r="C222" s="7" t="inlineStr">
        <is>
          <t>6.15.2.1</t>
        </is>
      </c>
      <c r="D222" s="7" t="inlineStr">
        <is>
          <t>Danh sách nhà cung cấp, theo dõi trạng thái</t>
        </is>
      </c>
      <c r="E222" s="11" t="inlineStr"/>
      <c r="F222" s="7" t="inlineStr">
        <is>
          <t>Danh sách NCC</t>
        </is>
      </c>
      <c r="G222" s="7" t="inlineStr"/>
      <c r="H222" s="11" t="inlineStr"/>
      <c r="I222" s="11" t="inlineStr"/>
    </row>
    <row r="223">
      <c r="A223" s="7" t="inlineStr">
        <is>
          <t>6.15</t>
        </is>
      </c>
      <c r="B223" s="7" t="inlineStr">
        <is>
          <t>Quản lý nhà cung cấp sản phẩm, dịch vụ</t>
        </is>
      </c>
      <c r="C223" s="7" t="inlineStr">
        <is>
          <t>6.15.2.1</t>
        </is>
      </c>
      <c r="D223" s="7" t="inlineStr">
        <is>
          <t>Phân loại nhà cung cấp</t>
        </is>
      </c>
      <c r="E223" s="11" t="inlineStr"/>
      <c r="F223" s="7" t="inlineStr">
        <is>
          <t>Tiêu chí phân loại</t>
        </is>
      </c>
      <c r="G223" s="7" t="inlineStr"/>
      <c r="H223" s="11" t="inlineStr"/>
      <c r="I223" s="11" t="inlineStr"/>
    </row>
    <row r="224">
      <c r="A224" s="7" t="inlineStr">
        <is>
          <t>6.15</t>
        </is>
      </c>
      <c r="B224" s="7" t="inlineStr">
        <is>
          <t>Quản lý nhà cung cấp sản phẩm, dịch vụ</t>
        </is>
      </c>
      <c r="C224" s="7" t="inlineStr">
        <is>
          <t>6.15.2.1</t>
        </is>
      </c>
      <c r="D224" s="7" t="inlineStr">
        <is>
          <t>Nhà cung cấp SP/DV ANM phải đủ điều kiện kinh doanh theo quy định</t>
        </is>
      </c>
      <c r="E224" s="11" t="inlineStr"/>
      <c r="F224" s="7" t="inlineStr">
        <is>
          <t>Giấy phép kinh doanh SP/DV ANM của NCC</t>
        </is>
      </c>
      <c r="G224" s="7" t="inlineStr">
        <is>
          <t>Mới/khác so với cấp 3</t>
        </is>
      </c>
      <c r="H224" s="11" t="inlineStr"/>
      <c r="I224" s="11" t="inlineStr"/>
    </row>
    <row r="225">
      <c r="A225" s="7" t="inlineStr">
        <is>
          <t>6.15</t>
        </is>
      </c>
      <c r="B225" s="7" t="inlineStr">
        <is>
          <t>Quản lý nhà cung cấp sản phẩm, dịch vụ</t>
        </is>
      </c>
      <c r="C225" s="7" t="inlineStr">
        <is>
          <t>6.15.2.1</t>
        </is>
      </c>
      <c r="D225" s="7" t="inlineStr">
        <is>
          <t>Văn bản phân định phạm vi trách nhiệm giữa nhà cung cấp và tổ chức</t>
        </is>
      </c>
      <c r="E225" s="11" t="inlineStr"/>
      <c r="F225" s="7" t="inlineStr">
        <is>
          <t>Hợp đồng/SLA/ma trận RACI</t>
        </is>
      </c>
      <c r="G225" s="7" t="inlineStr"/>
      <c r="H225" s="11" t="inlineStr"/>
      <c r="I225" s="11" t="inlineStr"/>
    </row>
    <row r="226">
      <c r="A226" s="7" t="inlineStr">
        <is>
          <t>6.15</t>
        </is>
      </c>
      <c r="B226" s="7" t="inlineStr">
        <is>
          <t>Quản lý nhà cung cấp sản phẩm, dịch vụ</t>
        </is>
      </c>
      <c r="C226" s="7" t="inlineStr">
        <is>
          <t>6.15.2.1</t>
        </is>
      </c>
      <c r="D226" s="7" t="inlineStr">
        <is>
          <t>Cập nhật danh sách nhà cung cấp ≥ 1 lần/năm hoặc khi thay đổi</t>
        </is>
      </c>
      <c r="E226" s="11" t="inlineStr"/>
      <c r="F226" s="7" t="inlineStr">
        <is>
          <t>Ngày cập nhật</t>
        </is>
      </c>
      <c r="G226" s="7" t="inlineStr"/>
      <c r="H226" s="11" t="inlineStr"/>
      <c r="I226" s="11" t="inlineStr"/>
    </row>
    <row r="227">
      <c r="A227" s="7" t="inlineStr">
        <is>
          <t>6.15</t>
        </is>
      </c>
      <c r="B227" s="7" t="inlineStr">
        <is>
          <t>Quản lý nhà cung cấp sản phẩm, dịch vụ</t>
        </is>
      </c>
      <c r="C227" s="7" t="inlineStr">
        <is>
          <t>6.15.2.2 a)</t>
        </is>
      </c>
      <c r="D227" s="7" t="inlineStr">
        <is>
          <t>Quy định quản lý nhà cung cấp dịch vụ</t>
        </is>
      </c>
      <c r="E227" s="11" t="inlineStr"/>
      <c r="F227" s="7" t="inlineStr">
        <is>
          <t>Quy định</t>
        </is>
      </c>
      <c r="G227" s="7" t="inlineStr">
        <is>
          <t>Mới/khác so với cấp 3</t>
        </is>
      </c>
      <c r="H227" s="11" t="inlineStr"/>
      <c r="I227" s="11" t="inlineStr"/>
    </row>
    <row r="228">
      <c r="A228" s="7" t="inlineStr">
        <is>
          <t>6.15</t>
        </is>
      </c>
      <c r="B228" s="7" t="inlineStr">
        <is>
          <t>Quản lý nhà cung cấp sản phẩm, dịch vụ</t>
        </is>
      </c>
      <c r="C228" s="7" t="inlineStr">
        <is>
          <t>6.15.2.2 b)</t>
        </is>
      </c>
      <c r="D228" s="7" t="inlineStr">
        <is>
          <t>Cập nhật quy định ≥ 1 lần/năm hoặc khi thay đổi</t>
        </is>
      </c>
      <c r="E228" s="11" t="inlineStr"/>
      <c r="F228" s="7" t="inlineStr">
        <is>
          <t>Lịch sử phiên bản</t>
        </is>
      </c>
      <c r="G228" s="7" t="inlineStr">
        <is>
          <t>Mới/khác so với cấp 3</t>
        </is>
      </c>
      <c r="H228" s="11" t="inlineStr"/>
      <c r="I228" s="11" t="inlineStr"/>
    </row>
    <row r="229">
      <c r="A229" s="7" t="inlineStr">
        <is>
          <t>6.15</t>
        </is>
      </c>
      <c r="B229" s="7" t="inlineStr">
        <is>
          <t>Quản lý nhà cung cấp sản phẩm, dịch vụ</t>
        </is>
      </c>
      <c r="C229" s="7" t="inlineStr">
        <is>
          <t>6.15.2.3 a)</t>
        </is>
      </c>
      <c r="D229" s="7" t="inlineStr">
        <is>
          <t>Hợp đồng dịch vụ ANM có đủ điều khoản bảo mật</t>
        </is>
      </c>
      <c r="E229" s="11" t="inlineStr"/>
      <c r="F229" s="7" t="inlineStr">
        <is>
          <t>Hợp đồng</t>
        </is>
      </c>
      <c r="G229" s="7" t="inlineStr">
        <is>
          <t>Mới/khác so với cấp 3</t>
        </is>
      </c>
      <c r="H229" s="11" t="inlineStr"/>
      <c r="I229" s="11" t="inlineStr"/>
    </row>
    <row r="230">
      <c r="A230" s="7" t="inlineStr">
        <is>
          <t>6.15</t>
        </is>
      </c>
      <c r="B230" s="7" t="inlineStr">
        <is>
          <t>Quản lý nhà cung cấp sản phẩm, dịch vụ</t>
        </is>
      </c>
      <c r="C230" s="7" t="inlineStr">
        <is>
          <t>6.15.2.3 b)</t>
        </is>
      </c>
      <c r="D230" s="7" t="inlineStr">
        <is>
          <t>Rà soát điều khoản bảo mật khi gia hạn hợp đồng</t>
        </is>
      </c>
      <c r="E230" s="11" t="inlineStr"/>
      <c r="F230" s="7" t="inlineStr">
        <is>
          <t>Biên bản rà soát</t>
        </is>
      </c>
      <c r="G230" s="7" t="inlineStr">
        <is>
          <t>Mới/khác so với cấp 3</t>
        </is>
      </c>
      <c r="H230" s="11" t="inlineStr"/>
      <c r="I230" s="11" t="inlineStr"/>
    </row>
    <row r="231">
      <c r="A231" s="7" t="inlineStr">
        <is>
          <t>6.15</t>
        </is>
      </c>
      <c r="B231" s="7" t="inlineStr">
        <is>
          <t>Quản lý nhà cung cấp sản phẩm, dịch vụ</t>
        </is>
      </c>
      <c r="C231" s="7" t="inlineStr">
        <is>
          <t>6.15.2.4</t>
        </is>
      </c>
      <c r="D231" s="7" t="inlineStr">
        <is>
          <t>Giám sát nhà cung cấp tuân thủ quy định của tổ chức</t>
        </is>
      </c>
      <c r="E231" s="11" t="inlineStr"/>
      <c r="F231" s="7" t="inlineStr">
        <is>
          <t>Báo cáo đánh giá NCC</t>
        </is>
      </c>
      <c r="G231" s="7" t="inlineStr">
        <is>
          <t>Mới/khác so với cấp 3</t>
        </is>
      </c>
      <c r="H231" s="11" t="inlineStr"/>
      <c r="I231" s="11" t="inlineStr"/>
    </row>
    <row r="232">
      <c r="A232" s="7" t="inlineStr">
        <is>
          <t>6.15</t>
        </is>
      </c>
      <c r="B232" s="7" t="inlineStr">
        <is>
          <t>Quản lý nhà cung cấp sản phẩm, dịch vụ</t>
        </is>
      </c>
      <c r="C232" s="7" t="inlineStr">
        <is>
          <t>6.15.2.5</t>
        </is>
      </c>
      <c r="D232" s="7" t="inlineStr">
        <is>
          <t>Rà soát vấn đề bảo mật khi kết thúc hợp đồng (thu hồi quyền, dữ liệu)</t>
        </is>
      </c>
      <c r="E232" s="11" t="inlineStr"/>
      <c r="F232" s="7" t="inlineStr">
        <is>
          <t>Biên bản kết thúc</t>
        </is>
      </c>
      <c r="G232" s="7" t="inlineStr">
        <is>
          <t>Mới/khác so với cấp 3</t>
        </is>
      </c>
      <c r="H232" s="11" t="inlineStr"/>
      <c r="I232" s="11" t="inlineStr"/>
    </row>
    <row r="233">
      <c r="A233" s="7" t="inlineStr">
        <is>
          <t>6.16</t>
        </is>
      </c>
      <c r="B233" s="7" t="inlineStr">
        <is>
          <t>Phát triển ứng dụng an toàn</t>
        </is>
      </c>
      <c r="C233" s="7" t="inlineStr">
        <is>
          <t>6.16.2.1 a)</t>
        </is>
      </c>
      <c r="D233" s="7" t="inlineStr">
        <is>
          <t>Quy trình phát triển ứng dụng an toàn (SDLC)</t>
        </is>
      </c>
      <c r="E233" s="11" t="inlineStr"/>
      <c r="F233" s="7" t="inlineStr">
        <is>
          <t>Quy trình SSDLC</t>
        </is>
      </c>
      <c r="G233" s="7" t="inlineStr"/>
      <c r="H233" s="11" t="inlineStr"/>
      <c r="I233" s="11" t="inlineStr"/>
    </row>
    <row r="234">
      <c r="A234" s="7" t="inlineStr">
        <is>
          <t>6.16</t>
        </is>
      </c>
      <c r="B234" s="7" t="inlineStr">
        <is>
          <t>Phát triển ứng dụng an toàn</t>
        </is>
      </c>
      <c r="C234" s="7" t="inlineStr">
        <is>
          <t>6.16.2.1 b)</t>
        </is>
      </c>
      <c r="D234" s="7" t="inlineStr">
        <is>
          <t>Cập nhật quy trình ≥ 1 lần/năm hoặc khi thay đổi</t>
        </is>
      </c>
      <c r="E234" s="11" t="inlineStr"/>
      <c r="F234" s="7" t="inlineStr">
        <is>
          <t>Lịch sử phiên bản</t>
        </is>
      </c>
      <c r="G234" s="7" t="inlineStr"/>
      <c r="H234" s="11" t="inlineStr"/>
      <c r="I234" s="11" t="inlineStr"/>
    </row>
    <row r="235">
      <c r="A235" s="7" t="inlineStr">
        <is>
          <t>6.16</t>
        </is>
      </c>
      <c r="B235" s="7" t="inlineStr">
        <is>
          <t>Phát triển ứng dụng an toàn</t>
        </is>
      </c>
      <c r="C235" s="7" t="inlineStr">
        <is>
          <t>6.16.2.1 c)</t>
        </is>
      </c>
      <c r="D235" s="7" t="inlineStr">
        <is>
          <t>Thuê khoán: hợp đồng, cam kết bảo mật với bên phát triển</t>
        </is>
      </c>
      <c r="E235" s="11" t="inlineStr"/>
      <c r="F235" s="7" t="inlineStr">
        <is>
          <t>Hợp đồng, NDA</t>
        </is>
      </c>
      <c r="G235" s="7" t="inlineStr"/>
      <c r="H235" s="11" t="inlineStr"/>
      <c r="I235" s="11" t="inlineStr"/>
    </row>
    <row r="236">
      <c r="A236" s="7" t="inlineStr">
        <is>
          <t>6.16</t>
        </is>
      </c>
      <c r="B236" s="7" t="inlineStr">
        <is>
          <t>Phát triển ứng dụng an toàn</t>
        </is>
      </c>
      <c r="C236" s="7" t="inlineStr">
        <is>
          <t>6.16.2.1 c)</t>
        </is>
      </c>
      <c r="D236" s="7" t="inlineStr">
        <is>
          <t>Thuê khoán: nhận mã nguồn; nếu không có thì chứng chỉ đánh giá độc lập hoặc pentest/giám sát thay thế + cam kết pháp lý</t>
        </is>
      </c>
      <c r="E236" s="11" t="inlineStr"/>
      <c r="F236" s="7" t="inlineStr">
        <is>
          <t>Biên bản bàn giao/cam kết</t>
        </is>
      </c>
      <c r="G236" s="7" t="inlineStr"/>
      <c r="H236" s="11" t="inlineStr"/>
      <c r="I236" s="11" t="inlineStr"/>
    </row>
    <row r="237">
      <c r="A237" s="7" t="inlineStr">
        <is>
          <t>6.16</t>
        </is>
      </c>
      <c r="B237" s="7" t="inlineStr">
        <is>
          <t>Phát triển ứng dụng an toàn</t>
        </is>
      </c>
      <c r="C237" s="7" t="inlineStr">
        <is>
          <t>6.16.2.1 c)</t>
        </is>
      </c>
      <c r="D237" s="7" t="inlineStr">
        <is>
          <t>Thuê khoán: kiểm thử trên môi trường thử nghiệm; đánh giá ANM trước khi dùng và mỗi khi đổi mã nguồn/kiến trúc</t>
        </is>
      </c>
      <c r="E237" s="11" t="inlineStr"/>
      <c r="F237" s="7" t="inlineStr">
        <is>
          <t>Báo cáo kiểm thử, đánh giá</t>
        </is>
      </c>
      <c r="G237" s="7" t="inlineStr">
        <is>
          <t>Mới/khác so với cấp 3</t>
        </is>
      </c>
      <c r="H237" s="11" t="inlineStr"/>
      <c r="I237" s="11" t="inlineStr"/>
    </row>
    <row r="238">
      <c r="A238" s="7" t="inlineStr">
        <is>
          <t>6.16</t>
        </is>
      </c>
      <c r="B238" s="7" t="inlineStr">
        <is>
          <t>Phát triển ứng dụng an toàn</t>
        </is>
      </c>
      <c r="C238" s="7" t="inlineStr">
        <is>
          <t>6.16.2.1 c)</t>
        </is>
      </c>
      <c r="D238" s="7" t="inlineStr">
        <is>
          <t>Thuê khoán: cam kết của bên phát triển về bảo mật và bản quyền phần mềm</t>
        </is>
      </c>
      <c r="E238" s="11" t="inlineStr"/>
      <c r="F238" s="7" t="inlineStr">
        <is>
          <t>Cam kết</t>
        </is>
      </c>
      <c r="G238" s="7" t="inlineStr">
        <is>
          <t>Mới/khác so với cấp 3</t>
        </is>
      </c>
      <c r="H238" s="11" t="inlineStr"/>
      <c r="I238" s="11" t="inlineStr"/>
    </row>
    <row r="239">
      <c r="A239" s="7" t="inlineStr">
        <is>
          <t>6.16</t>
        </is>
      </c>
      <c r="B239" s="7" t="inlineStr">
        <is>
          <t>Phát triển ứng dụng an toàn</t>
        </is>
      </c>
      <c r="C239" s="7" t="inlineStr">
        <is>
          <t>6.16.2.2 a)</t>
        </is>
      </c>
      <c r="D239" s="7" t="inlineStr">
        <is>
          <t>Quy trình tiếp nhận, xử lý báo cáo lỗ hổng phần mềm, có kênh cho bên ngoài báo cáo</t>
        </is>
      </c>
      <c r="E239" s="11" t="inlineStr"/>
      <c r="F239" s="7" t="inlineStr">
        <is>
          <t>Trang/địa chỉ tiếp nhận (security.txt)</t>
        </is>
      </c>
      <c r="G239" s="7" t="inlineStr"/>
      <c r="H239" s="11" t="inlineStr"/>
      <c r="I239" s="11" t="inlineStr"/>
    </row>
    <row r="240">
      <c r="A240" s="7" t="inlineStr">
        <is>
          <t>6.16</t>
        </is>
      </c>
      <c r="B240" s="7" t="inlineStr">
        <is>
          <t>Phát triển ứng dụng an toàn</t>
        </is>
      </c>
      <c r="C240" s="7" t="inlineStr">
        <is>
          <t>6.16.2.2 b)</t>
        </is>
      </c>
      <c r="D240" s="7" t="inlineStr">
        <is>
          <t>Cập nhật quy trình ≥ 1 lần/năm hoặc khi thay đổi</t>
        </is>
      </c>
      <c r="E240" s="11" t="inlineStr"/>
      <c r="F240" s="7" t="inlineStr">
        <is>
          <t>Lịch sử phiên bản</t>
        </is>
      </c>
      <c r="G240" s="7" t="inlineStr"/>
      <c r="H240" s="11" t="inlineStr"/>
      <c r="I240" s="11" t="inlineStr"/>
    </row>
    <row r="241">
      <c r="A241" s="7" t="inlineStr">
        <is>
          <t>6.16</t>
        </is>
      </c>
      <c r="B241" s="7" t="inlineStr">
        <is>
          <t>Phát triển ứng dụng an toàn</t>
        </is>
      </c>
      <c r="C241" s="7" t="inlineStr">
        <is>
          <t>6.16.2.3</t>
        </is>
      </c>
      <c r="D241" s="7" t="inlineStr">
        <is>
          <t>Phân tích nguyên nhân gốc của lỗ hổng</t>
        </is>
      </c>
      <c r="E241" s="11" t="inlineStr"/>
      <c r="F241" s="7" t="inlineStr">
        <is>
          <t>Báo cáo RCA</t>
        </is>
      </c>
      <c r="G241" s="7" t="inlineStr">
        <is>
          <t>Mới/khác so với cấp 3</t>
        </is>
      </c>
      <c r="H241" s="11" t="inlineStr"/>
      <c r="I241" s="11" t="inlineStr"/>
    </row>
    <row r="242">
      <c r="A242" s="7" t="inlineStr">
        <is>
          <t>6.16</t>
        </is>
      </c>
      <c r="B242" s="7" t="inlineStr">
        <is>
          <t>Phát triển ứng dụng an toàn</t>
        </is>
      </c>
      <c r="C242" s="7" t="inlineStr">
        <is>
          <t>6.16.2.4 a)</t>
        </is>
      </c>
      <c r="D242" s="7" t="inlineStr">
        <is>
          <t>Danh mục thành phần bên thứ ba (thư viện, mô-đun) đang/sẽ dùng (SBOM)</t>
        </is>
      </c>
      <c r="E242" s="11" t="inlineStr"/>
      <c r="F242" s="7" t="inlineStr">
        <is>
          <t>SBOM</t>
        </is>
      </c>
      <c r="G242" s="7" t="inlineStr">
        <is>
          <t>Mới/khác so với cấp 3</t>
        </is>
      </c>
      <c r="H242" s="11" t="inlineStr"/>
      <c r="I242" s="11" t="inlineStr"/>
    </row>
    <row r="243">
      <c r="A243" s="7" t="inlineStr">
        <is>
          <t>6.16</t>
        </is>
      </c>
      <c r="B243" s="7" t="inlineStr">
        <is>
          <t>Phát triển ứng dụng an toàn</t>
        </is>
      </c>
      <c r="C243" s="7" t="inlineStr">
        <is>
          <t>6.16.2.4 b)</t>
        </is>
      </c>
      <c r="D243" s="7" t="inlineStr">
        <is>
          <t>Ghi rủi ro ANM của từng thành phần bên thứ ba</t>
        </is>
      </c>
      <c r="E243" s="11" t="inlineStr"/>
      <c r="F243" s="7" t="inlineStr">
        <is>
          <t>SBOM kèm đánh giá</t>
        </is>
      </c>
      <c r="G243" s="7" t="inlineStr">
        <is>
          <t>Mới/khác so với cấp 3</t>
        </is>
      </c>
      <c r="H243" s="11" t="inlineStr"/>
      <c r="I243" s="11" t="inlineStr"/>
    </row>
    <row r="244">
      <c r="A244" s="7" t="inlineStr">
        <is>
          <t>6.16</t>
        </is>
      </c>
      <c r="B244" s="7" t="inlineStr">
        <is>
          <t>Phát triển ứng dụng an toàn</t>
        </is>
      </c>
      <c r="C244" s="7" t="inlineStr">
        <is>
          <t>6.16.2.4 c)</t>
        </is>
      </c>
      <c r="D244" s="7" t="inlineStr">
        <is>
          <t>Cập nhật danh mục thành phần ≥ 1 lần/quý</t>
        </is>
      </c>
      <c r="E244" s="11" t="inlineStr"/>
      <c r="F244" s="7" t="inlineStr">
        <is>
          <t>Lịch sử SBOM</t>
        </is>
      </c>
      <c r="G244" s="7" t="inlineStr">
        <is>
          <t>Mới/khác so với cấp 3</t>
        </is>
      </c>
      <c r="H244" s="11" t="inlineStr"/>
      <c r="I244" s="11" t="inlineStr"/>
    </row>
    <row r="245">
      <c r="A245" s="7" t="inlineStr">
        <is>
          <t>6.16</t>
        </is>
      </c>
      <c r="B245" s="7" t="inlineStr">
        <is>
          <t>Phát triển ứng dụng an toàn</t>
        </is>
      </c>
      <c r="C245" s="7" t="inlineStr">
        <is>
          <t>6.16.2.5</t>
        </is>
      </c>
      <c r="D245" s="7" t="inlineStr">
        <is>
          <t>Tách môi trường phát triển, kiểm thử, vận hành; không để bí mật trong mã nguồn</t>
        </is>
      </c>
      <c r="E245" s="11" t="inlineStr"/>
      <c r="F245" s="7" t="inlineStr">
        <is>
          <t>Sơ đồ môi trường, kết quả quét secret</t>
        </is>
      </c>
      <c r="G245" s="7" t="inlineStr">
        <is>
          <t>Mới/khác so với cấp 3</t>
        </is>
      </c>
      <c r="H245" s="11" t="inlineStr"/>
      <c r="I245" s="11" t="inlineStr"/>
    </row>
    <row r="246">
      <c r="A246" s="7" t="inlineStr">
        <is>
          <t>6.16</t>
        </is>
      </c>
      <c r="B246" s="7" t="inlineStr">
        <is>
          <t>Phát triển ứng dụng an toàn</t>
        </is>
      </c>
      <c r="C246" s="7" t="inlineStr">
        <is>
          <t>6.16.2.6 a)</t>
        </is>
      </c>
      <c r="D246" s="7" t="inlineStr">
        <is>
          <t>Đào tạo lập trình an toàn cho toàn bộ lập trình viên</t>
        </is>
      </c>
      <c r="E246" s="11" t="inlineStr"/>
      <c r="F246" s="7" t="inlineStr">
        <is>
          <t>Danh sách đào tạo</t>
        </is>
      </c>
      <c r="G246" s="7" t="inlineStr">
        <is>
          <t>Mới/khác so với cấp 3</t>
        </is>
      </c>
      <c r="H246" s="11" t="inlineStr"/>
      <c r="I246" s="11" t="inlineStr"/>
    </row>
    <row r="247">
      <c r="A247" s="7" t="inlineStr">
        <is>
          <t>6.16</t>
        </is>
      </c>
      <c r="B247" s="7" t="inlineStr">
        <is>
          <t>Phát triển ứng dụng an toàn</t>
        </is>
      </c>
      <c r="C247" s="7" t="inlineStr">
        <is>
          <t>6.16.2.6 b)</t>
        </is>
      </c>
      <c r="D247" s="7" t="inlineStr">
        <is>
          <t>Đào tạo lập trình an toàn ≥ 1 lần/năm</t>
        </is>
      </c>
      <c r="E247" s="11" t="inlineStr"/>
      <c r="F247" s="7" t="inlineStr">
        <is>
          <t>Danh sách đào tạo</t>
        </is>
      </c>
      <c r="G247" s="7" t="inlineStr">
        <is>
          <t>Mới/khác so với cấp 3</t>
        </is>
      </c>
      <c r="H247" s="11" t="inlineStr"/>
      <c r="I247" s="11" t="inlineStr"/>
    </row>
    <row r="248">
      <c r="A248" s="7" t="inlineStr">
        <is>
          <t>6.16</t>
        </is>
      </c>
      <c r="B248" s="7" t="inlineStr">
        <is>
          <t>Phát triển ứng dụng an toàn</t>
        </is>
      </c>
      <c r="C248" s="7" t="inlineStr">
        <is>
          <t>6.16.2.7</t>
        </is>
      </c>
      <c r="D248" s="7" t="inlineStr">
        <is>
          <t>Thiết kế: kiểm tra dữ liệu vào/ra, chống tấn công phổ biến, kiểm soát thông báo lỗi</t>
        </is>
      </c>
      <c r="E248" s="11" t="inlineStr"/>
      <c r="F248" s="7" t="inlineStr">
        <is>
          <t>Tài liệu thiết kế, checklist review</t>
        </is>
      </c>
      <c r="G248" s="7" t="inlineStr"/>
      <c r="H248" s="11" t="inlineStr"/>
      <c r="I248" s="11" t="inlineStr"/>
    </row>
    <row r="249">
      <c r="A249" s="7" t="inlineStr">
        <is>
          <t>6.16</t>
        </is>
      </c>
      <c r="B249" s="7" t="inlineStr">
        <is>
          <t>Phát triển ứng dụng an toàn</t>
        </is>
      </c>
      <c r="C249" s="7" t="inlineStr">
        <is>
          <t>6.16.2.7</t>
        </is>
      </c>
      <c r="D249" s="7" t="inlineStr">
        <is>
          <t>Không lưu thông tin xác thực, bí mật trong mã nguồn</t>
        </is>
      </c>
      <c r="E249" s="11" t="inlineStr"/>
      <c r="F249" s="7" t="inlineStr">
        <is>
          <t>Kết quả quét secret</t>
        </is>
      </c>
      <c r="G249" s="7" t="inlineStr"/>
      <c r="H249" s="11" t="inlineStr"/>
      <c r="I249" s="11" t="inlineStr"/>
    </row>
    <row r="250">
      <c r="A250" s="7" t="inlineStr">
        <is>
          <t>6.16</t>
        </is>
      </c>
      <c r="B250" s="7" t="inlineStr">
        <is>
          <t>Phát triển ứng dụng an toàn</t>
        </is>
      </c>
      <c r="C250" s="7" t="inlineStr">
        <is>
          <t>6.16.2.7</t>
        </is>
      </c>
      <c r="D250" s="7" t="inlineStr">
        <is>
          <t>Quản lý phiên làm việc an toàn</t>
        </is>
      </c>
      <c r="E250" s="11" t="inlineStr"/>
      <c r="F250" s="7" t="inlineStr">
        <is>
          <t>Tài liệu thiết kế</t>
        </is>
      </c>
      <c r="G250" s="7" t="inlineStr">
        <is>
          <t>Mới/khác so với cấp 3</t>
        </is>
      </c>
      <c r="H250" s="11" t="inlineStr"/>
      <c r="I250" s="11" t="inlineStr"/>
    </row>
    <row r="251">
      <c r="A251" s="7" t="inlineStr">
        <is>
          <t>6.16</t>
        </is>
      </c>
      <c r="B251" s="7" t="inlineStr">
        <is>
          <t>Phát triển ứng dụng an toàn</t>
        </is>
      </c>
      <c r="C251" s="7" t="inlineStr">
        <is>
          <t>6.16.2.8 a)</t>
        </is>
      </c>
      <c r="D251" s="7" t="inlineStr">
        <is>
          <t>Dùng mô-đun/dịch vụ bảo mật đã được kiểm chứng</t>
        </is>
      </c>
      <c r="E251" s="11" t="inlineStr"/>
      <c r="F251" s="7" t="inlineStr">
        <is>
          <t>Danh sách thư viện</t>
        </is>
      </c>
      <c r="G251" s="7" t="inlineStr">
        <is>
          <t>Mới/khác so với cấp 3</t>
        </is>
      </c>
      <c r="H251" s="11" t="inlineStr"/>
      <c r="I251" s="11" t="inlineStr"/>
    </row>
    <row r="252">
      <c r="A252" s="7" t="inlineStr">
        <is>
          <t>6.16</t>
        </is>
      </c>
      <c r="B252" s="7" t="inlineStr">
        <is>
          <t>Phát triển ứng dụng an toàn</t>
        </is>
      </c>
      <c r="C252" s="7" t="inlineStr">
        <is>
          <t>6.16.2.8 b)</t>
        </is>
      </c>
      <c r="D252" s="7" t="inlineStr">
        <is>
          <t>Chỉ dùng thuật toán mã hóa mạnh, đã chuẩn hóa</t>
        </is>
      </c>
      <c r="E252" s="11" t="inlineStr"/>
      <c r="F252" s="7" t="inlineStr">
        <is>
          <t>Danh sách thuật toán</t>
        </is>
      </c>
      <c r="G252" s="7" t="inlineStr">
        <is>
          <t>Mới/khác so với cấp 3</t>
        </is>
      </c>
      <c r="H252" s="11" t="inlineStr"/>
      <c r="I252" s="11" t="inlineStr"/>
    </row>
    <row r="253">
      <c r="A253" s="7" t="inlineStr">
        <is>
          <t>6.16</t>
        </is>
      </c>
      <c r="B253" s="7" t="inlineStr">
        <is>
          <t>Phát triển ứng dụng an toàn</t>
        </is>
      </c>
      <c r="C253" s="7" t="inlineStr">
        <is>
          <t>6.16.2.8 c)</t>
        </is>
      </c>
      <c r="D253" s="7" t="inlineStr">
        <is>
          <t>Ghi nhật ký kiểm toán hành vi người dùng trong sản phẩm</t>
        </is>
      </c>
      <c r="E253" s="11" t="inlineStr"/>
      <c r="F253" s="7" t="inlineStr">
        <is>
          <t>Mẫu audit log</t>
        </is>
      </c>
      <c r="G253" s="7" t="inlineStr">
        <is>
          <t>Mới/khác so với cấp 3</t>
        </is>
      </c>
      <c r="H253" s="11" t="inlineStr"/>
      <c r="I253" s="11" t="inlineStr"/>
    </row>
    <row r="254">
      <c r="A254" s="7" t="inlineStr">
        <is>
          <t>6.16</t>
        </is>
      </c>
      <c r="B254" s="7" t="inlineStr">
        <is>
          <t>Phát triển ứng dụng an toàn</t>
        </is>
      </c>
      <c r="C254" s="7" t="inlineStr">
        <is>
          <t>6.16.2.9 a)</t>
        </is>
      </c>
      <c r="D254" s="7" t="inlineStr">
        <is>
          <t>Kiểm tra lỗ hổng mã nguồn tự viết và thư viện, thành phần bên thứ ba</t>
        </is>
      </c>
      <c r="E254" s="11" t="inlineStr"/>
      <c r="F254" s="7" t="inlineStr">
        <is>
          <t>Báo cáo SAST/SCA</t>
        </is>
      </c>
      <c r="G254" s="7" t="inlineStr">
        <is>
          <t>Mới/khác so với cấp 3</t>
        </is>
      </c>
      <c r="H254" s="11" t="inlineStr"/>
      <c r="I254" s="11" t="inlineStr"/>
    </row>
    <row r="255">
      <c r="A255" s="7" t="inlineStr">
        <is>
          <t>6.16</t>
        </is>
      </c>
      <c r="B255" s="7" t="inlineStr">
        <is>
          <t>Phát triển ứng dụng an toàn</t>
        </is>
      </c>
      <c r="C255" s="7" t="inlineStr">
        <is>
          <t>6.16.2.9 b)</t>
        </is>
      </c>
      <c r="D255" s="7" t="inlineStr">
        <is>
          <t>Kiểm thử xâm nhập và khắc phục trước khi vận hành chính thức</t>
        </is>
      </c>
      <c r="E255" s="11" t="inlineStr"/>
      <c r="F255" s="7" t="inlineStr">
        <is>
          <t>Báo cáo pentest trước go-live</t>
        </is>
      </c>
      <c r="G255" s="7" t="inlineStr">
        <is>
          <t>Mới/khác so với cấp 3</t>
        </is>
      </c>
      <c r="H255" s="11" t="inlineStr"/>
      <c r="I255" s="11" t="inlineStr"/>
    </row>
    <row r="256">
      <c r="A256" s="7" t="inlineStr">
        <is>
          <t>6.17</t>
        </is>
      </c>
      <c r="B256" s="7" t="inlineStr">
        <is>
          <t>Quản trị ứng phó sự cố an ninh mạng</t>
        </is>
      </c>
      <c r="C256" s="7" t="inlineStr">
        <is>
          <t>6.17.2.1 a)</t>
        </is>
      </c>
      <c r="D256" s="7" t="inlineStr">
        <is>
          <t>Chỉ định người chủ chốt và ít nhất một người dự phòng quản lý ứng phó sự cố</t>
        </is>
      </c>
      <c r="E256" s="11" t="inlineStr"/>
      <c r="F256" s="7" t="inlineStr">
        <is>
          <t>Quyết định phân công</t>
        </is>
      </c>
      <c r="G256" s="7" t="inlineStr"/>
      <c r="H256" s="11" t="inlineStr"/>
      <c r="I256" s="11" t="inlineStr"/>
    </row>
    <row r="257">
      <c r="A257" s="7" t="inlineStr">
        <is>
          <t>6.17</t>
        </is>
      </c>
      <c r="B257" s="7" t="inlineStr">
        <is>
          <t>Quản trị ứng phó sự cố an ninh mạng</t>
        </is>
      </c>
      <c r="C257" s="7" t="inlineStr">
        <is>
          <t>6.17.2.1 b)</t>
        </is>
      </c>
      <c r="D257" s="7" t="inlineStr">
        <is>
          <t>Đầu mối tiếp nhận báo cáo sự cố; xác minh thông tin liên hệ hằng năm</t>
        </is>
      </c>
      <c r="E257" s="11" t="inlineStr"/>
      <c r="F257" s="7" t="inlineStr">
        <is>
          <t>Danh bạ có ngày xác minh</t>
        </is>
      </c>
      <c r="G257" s="7" t="inlineStr"/>
      <c r="H257" s="11" t="inlineStr"/>
      <c r="I257" s="11" t="inlineStr"/>
    </row>
    <row r="258">
      <c r="A258" s="7" t="inlineStr">
        <is>
          <t>6.17</t>
        </is>
      </c>
      <c r="B258" s="7" t="inlineStr">
        <is>
          <t>Quản trị ứng phó sự cố an ninh mạng</t>
        </is>
      </c>
      <c r="C258" s="7" t="inlineStr">
        <is>
          <t>6.17.2.1 c)</t>
        </is>
      </c>
      <c r="D258" s="7" t="inlineStr">
        <is>
          <t>Phân công vai trò, trách nhiệm từng thành viên đội ứng phó</t>
        </is>
      </c>
      <c r="E258" s="11" t="inlineStr"/>
      <c r="F258" s="7" t="inlineStr">
        <is>
          <t>Bảng RACI đội ứng phó</t>
        </is>
      </c>
      <c r="G258" s="7" t="inlineStr"/>
      <c r="H258" s="11" t="inlineStr"/>
      <c r="I258" s="11" t="inlineStr"/>
    </row>
    <row r="259">
      <c r="A259" s="7" t="inlineStr">
        <is>
          <t>6.17</t>
        </is>
      </c>
      <c r="B259" s="7" t="inlineStr">
        <is>
          <t>Quản trị ứng phó sự cố an ninh mạng</t>
        </is>
      </c>
      <c r="C259" s="7" t="inlineStr">
        <is>
          <t>6.17.2.1 d)</t>
        </is>
      </c>
      <c r="D259" s="7" t="inlineStr">
        <is>
          <t>Quy định trách nhiệm phối hợp của các phòng ban với đội ứng phó</t>
        </is>
      </c>
      <c r="E259" s="11" t="inlineStr"/>
      <c r="F259" s="7" t="inlineStr">
        <is>
          <t>Quy chế phối hợp</t>
        </is>
      </c>
      <c r="G259" s="7" t="inlineStr"/>
      <c r="H259" s="11" t="inlineStr"/>
      <c r="I259" s="11" t="inlineStr"/>
    </row>
    <row r="260">
      <c r="A260" s="7" t="inlineStr">
        <is>
          <t>6.17</t>
        </is>
      </c>
      <c r="B260" s="7" t="inlineStr">
        <is>
          <t>Quản trị ứng phó sự cố an ninh mạng</t>
        </is>
      </c>
      <c r="C260" s="7" t="inlineStr">
        <is>
          <t>6.17.2.2 a)</t>
        </is>
      </c>
      <c r="D260" s="7" t="inlineStr">
        <is>
          <t>Quy trình báo cáo sự cố nội bộ</t>
        </is>
      </c>
      <c r="E260" s="11" t="inlineStr"/>
      <c r="F260" s="7" t="inlineStr">
        <is>
          <t>Quy trình, mẫu báo cáo</t>
        </is>
      </c>
      <c r="G260" s="7" t="inlineStr"/>
      <c r="H260" s="11" t="inlineStr"/>
      <c r="I260" s="11" t="inlineStr"/>
    </row>
    <row r="261">
      <c r="A261" s="7" t="inlineStr">
        <is>
          <t>6.17</t>
        </is>
      </c>
      <c r="B261" s="7" t="inlineStr">
        <is>
          <t>Quản trị ứng phó sự cố an ninh mạng</t>
        </is>
      </c>
      <c r="C261" s="7" t="inlineStr">
        <is>
          <t>6.17.2.2 b)</t>
        </is>
      </c>
      <c r="D261" s="7" t="inlineStr">
        <is>
          <t>Phân nhóm sự cố ANM</t>
        </is>
      </c>
      <c r="E261" s="11" t="inlineStr"/>
      <c r="F261" s="7" t="inlineStr">
        <is>
          <t>Bảng phân loại sự cố</t>
        </is>
      </c>
      <c r="G261" s="7" t="inlineStr"/>
      <c r="H261" s="11" t="inlineStr"/>
      <c r="I261" s="11" t="inlineStr"/>
    </row>
    <row r="262">
      <c r="A262" s="7" t="inlineStr">
        <is>
          <t>6.17</t>
        </is>
      </c>
      <c r="B262" s="7" t="inlineStr">
        <is>
          <t>Quản trị ứng phó sự cố an ninh mạng</t>
        </is>
      </c>
      <c r="C262" s="7" t="inlineStr">
        <is>
          <t>6.17.2.2 c)</t>
        </is>
      </c>
      <c r="D262" s="7" t="inlineStr">
        <is>
          <t>Cập nhật quy trình báo cáo ≥ 1 lần/năm hoặc khi thay đổi</t>
        </is>
      </c>
      <c r="E262" s="11" t="inlineStr"/>
      <c r="F262" s="7" t="inlineStr">
        <is>
          <t>Lịch sử phiên bản</t>
        </is>
      </c>
      <c r="G262" s="7" t="inlineStr"/>
      <c r="H262" s="11" t="inlineStr"/>
      <c r="I262" s="11" t="inlineStr"/>
    </row>
    <row r="263">
      <c r="A263" s="7" t="inlineStr">
        <is>
          <t>6.17</t>
        </is>
      </c>
      <c r="B263" s="7" t="inlineStr">
        <is>
          <t>Quản trị ứng phó sự cố an ninh mạng</t>
        </is>
      </c>
      <c r="C263" s="7" t="inlineStr">
        <is>
          <t>6.17.2.3 a)</t>
        </is>
      </c>
      <c r="D263" s="7" t="inlineStr">
        <is>
          <t>Quy trình ứng phó có cơ chế phối hợp với cơ quan chức năng, chuyên gia, nhà cung cấp dịch vụ</t>
        </is>
      </c>
      <c r="E263" s="11" t="inlineStr"/>
      <c r="F263" s="7" t="inlineStr">
        <is>
          <t>Quy trình ứng phó</t>
        </is>
      </c>
      <c r="G263" s="7" t="inlineStr"/>
      <c r="H263" s="11" t="inlineStr"/>
      <c r="I263" s="11" t="inlineStr"/>
    </row>
    <row r="264">
      <c r="A264" s="7" t="inlineStr">
        <is>
          <t>6.17</t>
        </is>
      </c>
      <c r="B264" s="7" t="inlineStr">
        <is>
          <t>Quản trị ứng phó sự cố an ninh mạng</t>
        </is>
      </c>
      <c r="C264" s="7" t="inlineStr">
        <is>
          <t>6.17.2.3 b)</t>
        </is>
      </c>
      <c r="D264" s="7" t="inlineStr">
        <is>
          <t>Cập nhật quy trình ứng phó ≥ 1 lần/năm hoặc khi thay đổi</t>
        </is>
      </c>
      <c r="E264" s="11" t="inlineStr"/>
      <c r="F264" s="7" t="inlineStr">
        <is>
          <t>Lịch sử phiên bản</t>
        </is>
      </c>
      <c r="G264" s="7" t="inlineStr"/>
      <c r="H264" s="11" t="inlineStr"/>
      <c r="I264" s="11" t="inlineStr"/>
    </row>
    <row r="265">
      <c r="A265" s="7" t="inlineStr">
        <is>
          <t>6.17</t>
        </is>
      </c>
      <c r="B265" s="7" t="inlineStr">
        <is>
          <t>Quản trị ứng phó sự cố an ninh mạng</t>
        </is>
      </c>
      <c r="C265" s="7" t="inlineStr">
        <is>
          <t>6.17.2.4 a)</t>
        </is>
      </c>
      <c r="D265" s="7" t="inlineStr">
        <is>
          <t>Kênh liên lạc chính và dự phòng khi xử lý sự cố</t>
        </is>
      </c>
      <c r="E265" s="11" t="inlineStr"/>
      <c r="F265" s="7" t="inlineStr">
        <is>
          <t>Danh sách kênh</t>
        </is>
      </c>
      <c r="G265" s="7" t="inlineStr">
        <is>
          <t>Mới/khác so với cấp 3</t>
        </is>
      </c>
      <c r="H265" s="11" t="inlineStr"/>
      <c r="I265" s="11" t="inlineStr"/>
    </row>
    <row r="266">
      <c r="A266" s="7" t="inlineStr">
        <is>
          <t>6.17</t>
        </is>
      </c>
      <c r="B266" s="7" t="inlineStr">
        <is>
          <t>Quản trị ứng phó sự cố an ninh mạng</t>
        </is>
      </c>
      <c r="C266" s="7" t="inlineStr">
        <is>
          <t>6.17.2.4 b)</t>
        </is>
      </c>
      <c r="D266" s="7" t="inlineStr">
        <is>
          <t>Cập nhật cơ chế liên lạc ≥ 1 lần/năm</t>
        </is>
      </c>
      <c r="E266" s="11" t="inlineStr"/>
      <c r="F266" s="7" t="inlineStr">
        <is>
          <t>Lịch sử cập nhật</t>
        </is>
      </c>
      <c r="G266" s="7" t="inlineStr">
        <is>
          <t>Mới/khác so với cấp 3</t>
        </is>
      </c>
      <c r="H266" s="11" t="inlineStr"/>
      <c r="I266" s="11" t="inlineStr"/>
    </row>
    <row r="267">
      <c r="A267" s="7" t="inlineStr">
        <is>
          <t>6.17</t>
        </is>
      </c>
      <c r="B267" s="7" t="inlineStr">
        <is>
          <t>Quản trị ứng phó sự cố an ninh mạng</t>
        </is>
      </c>
      <c r="C267" s="7" t="inlineStr">
        <is>
          <t>6.17.2.5</t>
        </is>
      </c>
      <c r="D267" s="7" t="inlineStr">
        <is>
          <t>Đánh giá sau sự cố (rút kinh nghiệm)</t>
        </is>
      </c>
      <c r="E267" s="11" t="inlineStr"/>
      <c r="F267" s="7" t="inlineStr">
        <is>
          <t>Báo cáo post-incident</t>
        </is>
      </c>
      <c r="G267" s="7" t="inlineStr">
        <is>
          <t>Mới/khác so với cấp 3</t>
        </is>
      </c>
      <c r="H267" s="11" t="inlineStr"/>
      <c r="I267" s="11" t="inlineStr"/>
    </row>
    <row r="268">
      <c r="A268" s="7" t="inlineStr">
        <is>
          <t>6.17</t>
        </is>
      </c>
      <c r="B268" s="7" t="inlineStr">
        <is>
          <t>Quản trị ứng phó sự cố an ninh mạng</t>
        </is>
      </c>
      <c r="C268" s="7" t="inlineStr">
        <is>
          <t>6.17.2.6</t>
        </is>
      </c>
      <c r="D268" s="7" t="inlineStr">
        <is>
          <t>Diễn tập kịch bản ứng phó ≥ 1 lần/năm</t>
        </is>
      </c>
      <c r="E268" s="11" t="inlineStr"/>
      <c r="F268" s="7" t="inlineStr">
        <is>
          <t>Kế hoạch, báo cáo diễn tập</t>
        </is>
      </c>
      <c r="G268" s="7" t="inlineStr">
        <is>
          <t>Mới/khác so với cấp 3</t>
        </is>
      </c>
      <c r="H268" s="11" t="inlineStr"/>
      <c r="I268" s="11" t="inlineStr"/>
    </row>
    <row r="269">
      <c r="A269" s="7" t="inlineStr">
        <is>
          <t>6.17</t>
        </is>
      </c>
      <c r="B269" s="7" t="inlineStr">
        <is>
          <t>Quản trị ứng phó sự cố an ninh mạng</t>
        </is>
      </c>
      <c r="C269" s="7" t="inlineStr">
        <is>
          <t>6.17.2.7 a)</t>
        </is>
      </c>
      <c r="D269" s="7" t="inlineStr">
        <is>
          <t>Thiết lập ngưỡng sự cố ANM</t>
        </is>
      </c>
      <c r="E269" s="11" t="inlineStr"/>
      <c r="F269" s="7" t="inlineStr">
        <is>
          <t>Bảng ngưỡng</t>
        </is>
      </c>
      <c r="G269" s="7" t="inlineStr">
        <is>
          <t>Mới/khác so với cấp 3</t>
        </is>
      </c>
      <c r="H269" s="11" t="inlineStr"/>
      <c r="I269" s="11" t="inlineStr"/>
    </row>
    <row r="270">
      <c r="A270" s="7" t="inlineStr">
        <is>
          <t>6.17</t>
        </is>
      </c>
      <c r="B270" s="7" t="inlineStr">
        <is>
          <t>Quản trị ứng phó sự cố an ninh mạng</t>
        </is>
      </c>
      <c r="C270" s="7" t="inlineStr">
        <is>
          <t>6.17.2.7 b)</t>
        </is>
      </c>
      <c r="D270" s="7" t="inlineStr">
        <is>
          <t>Cập nhật ngưỡng sự cố ≥ 1 lần/năm</t>
        </is>
      </c>
      <c r="E270" s="11" t="inlineStr"/>
      <c r="F270" s="7" t="inlineStr">
        <is>
          <t>Lịch sử cập nhật</t>
        </is>
      </c>
      <c r="G270" s="7" t="inlineStr">
        <is>
          <t>Mới/khác so với cấp 3</t>
        </is>
      </c>
      <c r="H270" s="11" t="inlineStr"/>
      <c r="I270" s="11" t="inlineStr"/>
    </row>
    <row r="271">
      <c r="A271" s="7" t="inlineStr">
        <is>
          <t>6.18</t>
        </is>
      </c>
      <c r="B271" s="7" t="inlineStr">
        <is>
          <t>Quản lý kiểm tra an ninh mạng (kiểm thử xâm nhập)</t>
        </is>
      </c>
      <c r="C271" s="7" t="inlineStr">
        <is>
          <t>6.18.2.1 a)</t>
        </is>
      </c>
      <c r="D271" s="7" t="inlineStr">
        <is>
          <t>Chương trình kiểm thử xâm nhập phù hợp quy mô, độ phức tạp của tổ chức</t>
        </is>
      </c>
      <c r="E271" s="11" t="inlineStr"/>
      <c r="F271" s="7" t="inlineStr">
        <is>
          <t>Chương trình pentest</t>
        </is>
      </c>
      <c r="G271" s="7" t="inlineStr"/>
      <c r="H271" s="11" t="inlineStr"/>
      <c r="I271" s="11" t="inlineStr"/>
    </row>
    <row r="272">
      <c r="A272" s="7" t="inlineStr">
        <is>
          <t>6.18</t>
        </is>
      </c>
      <c r="B272" s="7" t="inlineStr">
        <is>
          <t>Quản lý kiểm tra an ninh mạng (kiểm thử xâm nhập)</t>
        </is>
      </c>
      <c r="C272" s="7" t="inlineStr">
        <is>
          <t>6.18.2.1 b)</t>
        </is>
      </c>
      <c r="D272" s="7" t="inlineStr">
        <is>
          <t>Mỗi đợt được phê duyệt phạm vi, thời gian, phương pháp, đầu mối, xử lý dữ liệu; tránh gián đoạn dịch vụ</t>
        </is>
      </c>
      <c r="E272" s="11" t="inlineStr"/>
      <c r="F272" s="7" t="inlineStr">
        <is>
          <t>Phê duyệt kế hoạch pentest (RoE)</t>
        </is>
      </c>
      <c r="G272" s="7" t="inlineStr"/>
      <c r="H272" s="11" t="inlineStr"/>
      <c r="I272" s="11" t="inlineStr"/>
    </row>
    <row r="273">
      <c r="A273" s="7" t="inlineStr">
        <is>
          <t>6.18</t>
        </is>
      </c>
      <c r="B273" s="7" t="inlineStr">
        <is>
          <t>Quản lý kiểm tra an ninh mạng (kiểm thử xâm nhập)</t>
        </is>
      </c>
      <c r="C273" s="7" t="inlineStr">
        <is>
          <t>6.18.2.1 b)</t>
        </is>
      </c>
      <c r="D273" s="7" t="inlineStr">
        <is>
          <t>Chương trình xác định phạm vi, tần suất (quý/nửa năm/năm/đột xuất), hành vi bị cấm, cách tổ chức phản ứng</t>
        </is>
      </c>
      <c r="E273" s="11" t="inlineStr"/>
      <c r="F273" s="7" t="inlineStr">
        <is>
          <t>Chương trình pentest</t>
        </is>
      </c>
      <c r="G273" s="7" t="inlineStr"/>
      <c r="H273" s="11" t="inlineStr"/>
      <c r="I273" s="11" t="inlineStr"/>
    </row>
    <row r="274">
      <c r="A274" s="7" t="inlineStr">
        <is>
          <t>6.18</t>
        </is>
      </c>
      <c r="B274" s="7" t="inlineStr">
        <is>
          <t>Quản lý kiểm tra an ninh mạng (kiểm thử xâm nhập)</t>
        </is>
      </c>
      <c r="C274" s="7" t="inlineStr">
        <is>
          <t>6.18.2.2</t>
        </is>
      </c>
      <c r="D274" s="7" t="inlineStr">
        <is>
          <t>Pentest từ bên ngoài ≥ 1 lần/năm cho ứng dụng, dịch vụ công khai Internet</t>
        </is>
      </c>
      <c r="E274" s="11" t="inlineStr"/>
      <c r="F274" s="7" t="inlineStr">
        <is>
          <t>Báo cáo pentest ngoài</t>
        </is>
      </c>
      <c r="G274" s="7" t="inlineStr">
        <is>
          <t>Mới/khác so với cấp 3</t>
        </is>
      </c>
      <c r="H274" s="11" t="inlineStr"/>
      <c r="I274" s="11" t="inlineStr"/>
    </row>
    <row r="275">
      <c r="A275" s="7" t="inlineStr">
        <is>
          <t>6.18</t>
        </is>
      </c>
      <c r="B275" s="7" t="inlineStr">
        <is>
          <t>Quản lý kiểm tra an ninh mạng (kiểm thử xâm nhập)</t>
        </is>
      </c>
      <c r="C275" s="7" t="inlineStr">
        <is>
          <t>6.18.2.3</t>
        </is>
      </c>
      <c r="D275" s="7" t="inlineStr">
        <is>
          <t>Khắc phục phát hiện từ pentest theo chính sách ưu tiên</t>
        </is>
      </c>
      <c r="E275" s="11" t="inlineStr"/>
      <c r="F275" s="7" t="inlineStr">
        <is>
          <t>Kế hoạch khắc phục, retest</t>
        </is>
      </c>
      <c r="G275" s="7" t="inlineStr"/>
      <c r="H275" s="11" t="inlineStr"/>
      <c r="I275" s="11" t="inlineStr"/>
    </row>
    <row r="276">
      <c r="A276" s="7" t="inlineStr">
        <is>
          <t>6.18</t>
        </is>
      </c>
      <c r="B276" s="7" t="inlineStr">
        <is>
          <t>Quản lý kiểm tra an ninh mạng (kiểm thử xâm nhập)</t>
        </is>
      </c>
      <c r="C276" s="7" t="inlineStr">
        <is>
          <t>6.18.2.4</t>
        </is>
      </c>
      <c r="D276" s="7" t="inlineStr">
        <is>
          <t>Đánh giá lại hiệu quả biện pháp bảo mật sau mỗi đợt pentest</t>
        </is>
      </c>
      <c r="E276" s="11" t="inlineStr"/>
      <c r="F276" s="7" t="inlineStr">
        <is>
          <t>Báo cáo đánh giá</t>
        </is>
      </c>
      <c r="G276" s="7" t="inlineStr"/>
      <c r="H276" s="11" t="inlineStr"/>
      <c r="I276" s="11" t="inlineStr"/>
    </row>
    <row r="277">
      <c r="A277" s="7" t="inlineStr">
        <is>
          <t>6.18</t>
        </is>
      </c>
      <c r="B277" s="7" t="inlineStr">
        <is>
          <t>Quản lý kiểm tra an ninh mạng (kiểm thử xâm nhập)</t>
        </is>
      </c>
      <c r="C277" s="7" t="inlineStr">
        <is>
          <t>6.18.2.5</t>
        </is>
      </c>
      <c r="D277" s="7" t="inlineStr">
        <is>
          <t>Pentest từ bên trong ≥ 1 lần/năm cho tài nguyên nội bộ</t>
        </is>
      </c>
      <c r="E277" s="11" t="inlineStr"/>
      <c r="F277" s="7" t="inlineStr">
        <is>
          <t>Báo cáo pentest trong</t>
        </is>
      </c>
      <c r="G277" s="7" t="inlineStr">
        <is>
          <t>Mới/khác so với cấp 3</t>
        </is>
      </c>
      <c r="H277" s="11" t="inlineStr"/>
      <c r="I277" s="11" t="inlineStr"/>
    </row>
  </sheetData>
  <autoFilter ref="A4:I277"/>
  <conditionalFormatting sqref="E5:E277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277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9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5 (TCVN 14423:2026 mục 7)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7.1</t>
        </is>
      </c>
      <c r="B5" s="7" t="inlineStr">
        <is>
          <t>Quản lý rủi ro an ninh mạng</t>
        </is>
      </c>
      <c r="C5" s="7" t="inlineStr">
        <is>
          <t>7.1.2.1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7.1</t>
        </is>
      </c>
      <c r="B6" s="7" t="inlineStr">
        <is>
          <t>Quản lý rủi ro an ninh mạng</t>
        </is>
      </c>
      <c r="C6" s="7" t="inlineStr">
        <is>
          <t>7.1.2.1 b)</t>
        </is>
      </c>
      <c r="D6" s="7" t="inlineStr">
        <is>
          <t>Rà soát quy trình QLRR và tài liệu kèm theo ≥ 1 lần/6 tháng hoặc khi tổ chức thay đổi</t>
        </is>
      </c>
      <c r="E6" s="11" t="inlineStr"/>
      <c r="F6" s="7" t="inlineStr">
        <is>
          <t>Biên bản rà soát, lịch sử phiên bản</t>
        </is>
      </c>
      <c r="G6" s="7" t="inlineStr">
        <is>
          <t>Mới/khác so với cấp 4</t>
        </is>
      </c>
      <c r="H6" s="11" t="inlineStr"/>
      <c r="I6" s="11" t="inlineStr"/>
    </row>
    <row r="7">
      <c r="A7" s="7" t="inlineStr">
        <is>
          <t>7.1</t>
        </is>
      </c>
      <c r="B7" s="7" t="inlineStr">
        <is>
          <t>Quản lý rủi ro an ninh mạng</t>
        </is>
      </c>
      <c r="C7" s="7" t="inlineStr">
        <is>
          <t>7.1.2.2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/>
      <c r="H7" s="11" t="inlineStr"/>
      <c r="I7" s="11" t="inlineStr"/>
    </row>
    <row r="8">
      <c r="A8" s="7" t="inlineStr">
        <is>
          <t>7.1</t>
        </is>
      </c>
      <c r="B8" s="7" t="inlineStr">
        <is>
          <t>Quản lý rủi ro an ninh mạng</t>
        </is>
      </c>
      <c r="C8" s="7" t="inlineStr">
        <is>
          <t>7.1.2.2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/>
      <c r="H8" s="11" t="inlineStr"/>
      <c r="I8" s="11" t="inlineStr"/>
    </row>
    <row r="9">
      <c r="A9" s="7" t="inlineStr">
        <is>
          <t>7.1</t>
        </is>
      </c>
      <c r="B9" s="7" t="inlineStr">
        <is>
          <t>Quản lý rủi ro an ninh mạng</t>
        </is>
      </c>
      <c r="C9" s="7" t="inlineStr">
        <is>
          <t>7.1.2.2 c)</t>
        </is>
      </c>
      <c r="D9" s="7" t="inlineStr">
        <is>
          <t>Lặp lại nhận diện rủi ro ≥ 1 lần/6 tháng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/>
      <c r="H9" s="11" t="inlineStr"/>
      <c r="I9" s="11" t="inlineStr"/>
    </row>
    <row r="10">
      <c r="A10" s="7" t="inlineStr">
        <is>
          <t>7.1</t>
        </is>
      </c>
      <c r="B10" s="7" t="inlineStr">
        <is>
          <t>Quản lý rủi ro an ninh mạng</t>
        </is>
      </c>
      <c r="C10" s="7" t="inlineStr">
        <is>
          <t>7.1.2.3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/>
      <c r="H10" s="11" t="inlineStr"/>
      <c r="I10" s="11" t="inlineStr"/>
    </row>
    <row r="11">
      <c r="A11" s="7" t="inlineStr">
        <is>
          <t>7.1</t>
        </is>
      </c>
      <c r="B11" s="7" t="inlineStr">
        <is>
          <t>Quản lý rủi ro an ninh mạng</t>
        </is>
      </c>
      <c r="C11" s="7" t="inlineStr">
        <is>
          <t>7.1.2.3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/>
      <c r="H11" s="11" t="inlineStr"/>
      <c r="I11" s="11" t="inlineStr"/>
    </row>
    <row r="12">
      <c r="A12" s="7" t="inlineStr">
        <is>
          <t>7.1</t>
        </is>
      </c>
      <c r="B12" s="7" t="inlineStr">
        <is>
          <t>Quản lý rủi ro an ninh mạng</t>
        </is>
      </c>
      <c r="C12" s="7" t="inlineStr">
        <is>
          <t>7.1.2.4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/>
      <c r="H12" s="11" t="inlineStr"/>
      <c r="I12" s="11" t="inlineStr"/>
    </row>
    <row r="13">
      <c r="A13" s="7" t="inlineStr">
        <is>
          <t>7.1</t>
        </is>
      </c>
      <c r="B13" s="7" t="inlineStr">
        <is>
          <t>Quản lý rủi ro an ninh mạng</t>
        </is>
      </c>
      <c r="C13" s="7" t="inlineStr">
        <is>
          <t>7.1.2.4 b)</t>
        </is>
      </c>
      <c r="D13" s="7" t="inlineStr">
        <is>
          <t>Đánh giá, cải thiện hiệu quả biện pháp kiểm soát ≥ 1 lần/6 tháng</t>
        </is>
      </c>
      <c r="E13" s="11" t="inlineStr"/>
      <c r="F13" s="7" t="inlineStr">
        <is>
          <t>Báo cáo đánh giá hiệu quả kiểm soát</t>
        </is>
      </c>
      <c r="G13" s="7" t="inlineStr"/>
      <c r="H13" s="11" t="inlineStr"/>
      <c r="I13" s="11" t="inlineStr"/>
    </row>
    <row r="14">
      <c r="A14" s="7" t="inlineStr">
        <is>
          <t>7.1</t>
        </is>
      </c>
      <c r="B14" s="7" t="inlineStr">
        <is>
          <t>Quản lý rủi ro an ninh mạng</t>
        </is>
      </c>
      <c r="C14" s="7" t="inlineStr">
        <is>
          <t>7.1.2.5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/>
      <c r="H14" s="11" t="inlineStr"/>
      <c r="I14" s="11" t="inlineStr"/>
    </row>
    <row r="15">
      <c r="A15" s="7" t="inlineStr">
        <is>
          <t>7.1</t>
        </is>
      </c>
      <c r="B15" s="7" t="inlineStr">
        <is>
          <t>Quản lý rủi ro an ninh mạng</t>
        </is>
      </c>
      <c r="C15" s="7" t="inlineStr">
        <is>
          <t>7.1.2.6 a)</t>
        </is>
      </c>
      <c r="D15" s="7" t="inlineStr">
        <is>
          <t>Gửi kết quả đánh giá rủi ro tới những bên có liên quan</t>
        </is>
      </c>
      <c r="E15" s="11" t="inlineStr"/>
      <c r="F15" s="7" t="inlineStr">
        <is>
          <t>Email/biên bản chia sẻ kết quả</t>
        </is>
      </c>
      <c r="G15" s="7" t="inlineStr"/>
      <c r="H15" s="11" t="inlineStr"/>
      <c r="I15" s="11" t="inlineStr"/>
    </row>
    <row r="16">
      <c r="A16" s="7" t="inlineStr">
        <is>
          <t>7.1</t>
        </is>
      </c>
      <c r="B16" s="7" t="inlineStr">
        <is>
          <t>Quản lý rủi ro an ninh mạng</t>
        </is>
      </c>
      <c r="C16" s="7" t="inlineStr">
        <is>
          <t>7.1.2.6 b)</t>
        </is>
      </c>
      <c r="D16" s="7" t="inlineStr">
        <is>
          <t>Thông báo kịp thời cho bên liên quan khi rủi ro có thay đổi quan trọng</t>
        </is>
      </c>
      <c r="E16" s="11" t="inlineStr"/>
      <c r="F16" s="7" t="inlineStr">
        <is>
          <t>Thông báo, kênh truyền thông rủi ro</t>
        </is>
      </c>
      <c r="G16" s="7" t="inlineStr"/>
      <c r="H16" s="11" t="inlineStr"/>
      <c r="I16" s="11" t="inlineStr"/>
    </row>
    <row r="17">
      <c r="A17" s="7" t="inlineStr">
        <is>
          <t>7.2</t>
        </is>
      </c>
      <c r="B17" s="7" t="inlineStr">
        <is>
          <t>Quản lý tài sản phần cứng</t>
        </is>
      </c>
      <c r="C17" s="7" t="inlineStr">
        <is>
          <t>7.2.1 a)</t>
        </is>
      </c>
      <c r="D17" s="7" t="inlineStr">
        <is>
          <t>Danh mục toàn bộ phần cứng của HTTT, kể cả thiết bị bên ngoài có kết nối vào; xác định tài sản cần giám sát</t>
        </is>
      </c>
      <c r="E17" s="11" t="inlineStr"/>
      <c r="F17" s="7" t="inlineStr">
        <is>
          <t>Danh mục tài sản phần cứng</t>
        </is>
      </c>
      <c r="G17" s="7" t="inlineStr"/>
      <c r="H17" s="11" t="inlineStr"/>
      <c r="I17" s="11" t="inlineStr"/>
    </row>
    <row r="18">
      <c r="A18" s="7" t="inlineStr">
        <is>
          <t>7.2</t>
        </is>
      </c>
      <c r="B18" s="7" t="inlineStr">
        <is>
          <t>Quản lý tài sản phần cứng</t>
        </is>
      </c>
      <c r="C18" s="7" t="inlineStr">
        <is>
          <t>7.2.1 b)</t>
        </is>
      </c>
      <c r="D18" s="7" t="inlineStr">
        <is>
          <t>Phát hiện tài sản vô chủ/trái phép để loại bỏ hoặc đưa vào quản lý</t>
        </is>
      </c>
      <c r="E18" s="11" t="inlineStr"/>
      <c r="F18" s="7" t="inlineStr">
        <is>
          <t>Báo cáo rà soát tài sản</t>
        </is>
      </c>
      <c r="G18" s="7" t="inlineStr"/>
      <c r="H18" s="11" t="inlineStr"/>
      <c r="I18" s="11" t="inlineStr"/>
    </row>
    <row r="19">
      <c r="A19" s="7" t="inlineStr">
        <is>
          <t>7.2</t>
        </is>
      </c>
      <c r="B19" s="7" t="inlineStr">
        <is>
          <t>Quản lý tài sản phần cứng</t>
        </is>
      </c>
      <c r="C19" s="7" t="inlineStr">
        <is>
          <t>7.2.1 c)</t>
        </is>
      </c>
      <c r="D19" s="7" t="inlineStr">
        <is>
          <t>Kiểm kê, cập nhật danh mục tài sản ≥ 1 lần/6 tháng</t>
        </is>
      </c>
      <c r="E19" s="11" t="inlineStr"/>
      <c r="F19" s="7" t="inlineStr">
        <is>
          <t>Biên bản kiểm kê</t>
        </is>
      </c>
      <c r="G19" s="7" t="inlineStr">
        <is>
          <t>Mới/khác so với cấp 4</t>
        </is>
      </c>
      <c r="H19" s="11" t="inlineStr"/>
      <c r="I19" s="11" t="inlineStr"/>
    </row>
    <row r="20">
      <c r="A20" s="7" t="inlineStr">
        <is>
          <t>7.2</t>
        </is>
      </c>
      <c r="B20" s="7" t="inlineStr">
        <is>
          <t>Quản lý tài sản phần cứng</t>
        </is>
      </c>
      <c r="C20" s="7" t="inlineStr">
        <is>
          <t>7.2.2.1 a)</t>
        </is>
      </c>
      <c r="D20" s="7" t="inlineStr">
        <is>
          <t>Danh mục phủ mọi thiết bị lưu trữ/xử lý dữ liệu: đầu cuối, di động, lưu trữ ngoài, văn phòng, mạng, OT/IoT, máy chủ vật lý/ảo/cloud</t>
        </is>
      </c>
      <c r="E20" s="11" t="inlineStr"/>
      <c r="F20" s="7" t="inlineStr">
        <is>
          <t>Danh mục tài sản (CMDB/bảng tính)</t>
        </is>
      </c>
      <c r="G20" s="7" t="inlineStr"/>
      <c r="H20" s="11" t="inlineStr"/>
      <c r="I20" s="11" t="inlineStr"/>
    </row>
    <row r="21">
      <c r="A21" s="7" t="inlineStr">
        <is>
          <t>7.2</t>
        </is>
      </c>
      <c r="B21" s="7" t="inlineStr">
        <is>
          <t>Quản lý tài sản phần cứng</t>
        </is>
      </c>
      <c r="C21" s="7" t="inlineStr">
        <is>
          <t>7.2.2.1 b)</t>
        </is>
      </c>
      <c r="D21" s="7" t="inlineStr">
        <is>
          <t>Kiểm tra an ninh tài sản vật lý trước khi đưa vào sử dụng (theo điều kiện thực tế)</t>
        </is>
      </c>
      <c r="E21" s="11" t="inlineStr"/>
      <c r="F21" s="7" t="inlineStr">
        <is>
          <t>Phiếu kiểm tra thiết bị trước khi sử dụng</t>
        </is>
      </c>
      <c r="G21" s="7" t="inlineStr"/>
      <c r="H21" s="11" t="inlineStr"/>
      <c r="I21" s="11" t="inlineStr"/>
    </row>
    <row r="22">
      <c r="A22" s="7" t="inlineStr">
        <is>
          <t>7.2</t>
        </is>
      </c>
      <c r="B22" s="7" t="inlineStr">
        <is>
          <t>Quản lý tài sản phần cứng</t>
        </is>
      </c>
      <c r="C22" s="7" t="inlineStr">
        <is>
          <t>7.2.2.1 c)</t>
        </is>
      </c>
      <c r="D22" s="7" t="inlineStr">
        <is>
          <t>Trường tối thiểu: tên, IP tĩnh, MAC/serial, hạn hỗ trợ của hãng, vị trí địa lý và trong mạng, mục đích, tình trạng; gán người chịu trách nhiệm</t>
        </is>
      </c>
      <c r="E22" s="11" t="inlineStr"/>
      <c r="F22" s="7" t="inlineStr">
        <is>
          <t>Danh mục có đủ trường, cột người phụ trách</t>
        </is>
      </c>
      <c r="G22" s="7" t="inlineStr"/>
      <c r="H22" s="11" t="inlineStr"/>
      <c r="I22" s="11" t="inlineStr"/>
    </row>
    <row r="23">
      <c r="A23" s="7" t="inlineStr">
        <is>
          <t>7.2</t>
        </is>
      </c>
      <c r="B23" s="7" t="inlineStr">
        <is>
          <t>Quản lý tài sản phần cứng</t>
        </is>
      </c>
      <c r="C23" s="7" t="inlineStr">
        <is>
          <t>7.2.2.1 d)</t>
        </is>
      </c>
      <c r="D23" s="7" t="inlineStr">
        <is>
          <t>Đăng ký thiết bị di động được phép kết nối; quy định trách nhiệm cá nhân khi dùng cho công việc</t>
        </is>
      </c>
      <c r="E23" s="11" t="inlineStr"/>
      <c r="F23" s="7" t="inlineStr">
        <is>
          <t>Sổ đăng ký thiết bị di động, quy định sử dụng</t>
        </is>
      </c>
      <c r="G23" s="7" t="inlineStr"/>
      <c r="H23" s="11" t="inlineStr"/>
      <c r="I23" s="11" t="inlineStr"/>
    </row>
    <row r="24">
      <c r="A24" s="7" t="inlineStr">
        <is>
          <t>7.2</t>
        </is>
      </c>
      <c r="B24" s="7" t="inlineStr">
        <is>
          <t>Quản lý tài sản phần cứng</t>
        </is>
      </c>
      <c r="C24" s="7" t="inlineStr">
        <is>
          <t>7.2.2.2 a)</t>
        </is>
      </c>
      <c r="D24" s="7" t="inlineStr">
        <is>
          <t>Quy trình phát hiện, xử lý thiết bị lạ kết nối trái phép, thực hiện ≥ 1 lần/tháng</t>
        </is>
      </c>
      <c r="E24" s="11" t="inlineStr"/>
      <c r="F24" s="7" t="inlineStr">
        <is>
          <t>Quy trình + kết quả các lần rà soát</t>
        </is>
      </c>
      <c r="G24" s="7" t="inlineStr">
        <is>
          <t>Mới/khác so với cấp 4</t>
        </is>
      </c>
      <c r="H24" s="11" t="inlineStr"/>
      <c r="I24" s="11" t="inlineStr"/>
    </row>
    <row r="25">
      <c r="A25" s="7" t="inlineStr">
        <is>
          <t>7.2</t>
        </is>
      </c>
      <c r="B25" s="7" t="inlineStr">
        <is>
          <t>Quản lý tài sản phần cứng</t>
        </is>
      </c>
      <c r="C25" s="7" t="inlineStr">
        <is>
          <t>7.2.2.2 b)</t>
        </is>
      </c>
      <c r="D25" s="7" t="inlineStr">
        <is>
          <t>Xử lý thiết bị trái phép bằng cách gỡ bỏ, từ chối kết nối hoặc cách ly</t>
        </is>
      </c>
      <c r="E25" s="11" t="inlineStr"/>
      <c r="F25" s="7" t="inlineStr">
        <is>
          <t>Nhật ký xử lý</t>
        </is>
      </c>
      <c r="G25" s="7" t="inlineStr"/>
      <c r="H25" s="11" t="inlineStr"/>
      <c r="I25" s="11" t="inlineStr"/>
    </row>
    <row r="26">
      <c r="A26" s="7" t="inlineStr">
        <is>
          <t>7.2</t>
        </is>
      </c>
      <c r="B26" s="7" t="inlineStr">
        <is>
          <t>Quản lý tài sản phần cứng</t>
        </is>
      </c>
      <c r="C26" s="7" t="inlineStr">
        <is>
          <t>7.2.2.3 a)</t>
        </is>
      </c>
      <c r="D26" s="7" t="inlineStr">
        <is>
          <t>Quy định rà quét phát hiện tài sản kết nối vào HTTT ≥ 1 lần/tháng</t>
        </is>
      </c>
      <c r="E26" s="11" t="inlineStr"/>
      <c r="F26" s="7" t="inlineStr">
        <is>
          <t>Quy định + kết quả quét mạng</t>
        </is>
      </c>
      <c r="G26" s="7" t="inlineStr">
        <is>
          <t>Mới/khác so với cấp 4</t>
        </is>
      </c>
      <c r="H26" s="11" t="inlineStr"/>
      <c r="I26" s="11" t="inlineStr"/>
    </row>
    <row r="27">
      <c r="A27" s="7" t="inlineStr">
        <is>
          <t>7.2</t>
        </is>
      </c>
      <c r="B27" s="7" t="inlineStr">
        <is>
          <t>Quản lý tài sản phần cứng</t>
        </is>
      </c>
      <c r="C27" s="7" t="inlineStr">
        <is>
          <t>7.2.2.3 b)</t>
        </is>
      </c>
      <c r="D27" s="7" t="inlineStr">
        <is>
          <t>Cập nhật danh mục tài sản theo kết quả rà quét</t>
        </is>
      </c>
      <c r="E27" s="11" t="inlineStr"/>
      <c r="F27" s="7" t="inlineStr">
        <is>
          <t>Lịch sử cập nhật danh mục</t>
        </is>
      </c>
      <c r="G27" s="7" t="inlineStr"/>
      <c r="H27" s="11" t="inlineStr"/>
      <c r="I27" s="11" t="inlineStr"/>
    </row>
    <row r="28">
      <c r="A28" s="7" t="inlineStr">
        <is>
          <t>7.2</t>
        </is>
      </c>
      <c r="B28" s="7" t="inlineStr">
        <is>
          <t>Quản lý tài sản phần cứng</t>
        </is>
      </c>
      <c r="C28" s="7" t="inlineStr">
        <is>
          <t>7.2.2.4 a)</t>
        </is>
      </c>
      <c r="D28" s="7" t="inlineStr">
        <is>
          <t>Bật ghi log DHCP trên mọi máy chủ DHCP/công cụ quản lý IP (nếu có)</t>
        </is>
      </c>
      <c r="E28" s="11" t="inlineStr"/>
      <c r="F28" s="7" t="inlineStr">
        <is>
          <t>Cấu hình log DHCP/IPAM</t>
        </is>
      </c>
      <c r="G28" s="7" t="inlineStr"/>
      <c r="H28" s="11" t="inlineStr"/>
      <c r="I28" s="11" t="inlineStr"/>
    </row>
    <row r="29">
      <c r="A29" s="7" t="inlineStr">
        <is>
          <t>7.2</t>
        </is>
      </c>
      <c r="B29" s="7" t="inlineStr">
        <is>
          <t>Quản lý tài sản phần cứng</t>
        </is>
      </c>
      <c r="C29" s="7" t="inlineStr">
        <is>
          <t>7.2.2.4 b)</t>
        </is>
      </c>
      <c r="D29" s="7" t="inlineStr">
        <is>
          <t>Rà soát log DHCP để cập nhật danh mục ≥ 1 lần/tháng</t>
        </is>
      </c>
      <c r="E29" s="11" t="inlineStr"/>
      <c r="F29" s="7" t="inlineStr">
        <is>
          <t>Biên bản rà soát log DHCP</t>
        </is>
      </c>
      <c r="G29" s="7" t="inlineStr">
        <is>
          <t>Mới/khác so với cấp 4</t>
        </is>
      </c>
      <c r="H29" s="11" t="inlineStr"/>
      <c r="I29" s="11" t="inlineStr"/>
    </row>
    <row r="30">
      <c r="A30" s="7" t="inlineStr">
        <is>
          <t>7.2</t>
        </is>
      </c>
      <c r="B30" s="7" t="inlineStr">
        <is>
          <t>Quản lý tài sản phần cứng</t>
        </is>
      </c>
      <c r="C30" s="7" t="inlineStr">
        <is>
          <t>7.2.2.5 a)</t>
        </is>
      </c>
      <c r="D30" s="7" t="inlineStr">
        <is>
          <t>Có quy trình thanh lý/tiêu hủy tài sản CNTT</t>
        </is>
      </c>
      <c r="E30" s="11" t="inlineStr"/>
      <c r="F30" s="7" t="inlineStr">
        <is>
          <t>Quy trình thanh lý</t>
        </is>
      </c>
      <c r="G30" s="7" t="inlineStr"/>
      <c r="H30" s="11" t="inlineStr"/>
      <c r="I30" s="11" t="inlineStr"/>
    </row>
    <row r="31">
      <c r="A31" s="7" t="inlineStr">
        <is>
          <t>7.2</t>
        </is>
      </c>
      <c r="B31" s="7" t="inlineStr">
        <is>
          <t>Quản lý tài sản phần cứng</t>
        </is>
      </c>
      <c r="C31" s="7" t="inlineStr">
        <is>
          <t>7.2.2.5 b)</t>
        </is>
      </c>
      <c r="D31" s="7" t="inlineStr">
        <is>
          <t>Dùng biện pháp chuyên dụng xóa sạch dữ liệu máy chủ khi chuyển giao/đổi mục đích</t>
        </is>
      </c>
      <c r="E31" s="11" t="inlineStr"/>
      <c r="F31" s="7" t="inlineStr">
        <is>
          <t>Công cụ/biên bản xóa chuyên dụng</t>
        </is>
      </c>
      <c r="G31" s="7" t="inlineStr"/>
      <c r="H31" s="11" t="inlineStr"/>
      <c r="I31" s="11" t="inlineStr"/>
    </row>
    <row r="32">
      <c r="A32" s="7" t="inlineStr">
        <is>
          <t>7.2</t>
        </is>
      </c>
      <c r="B32" s="7" t="inlineStr">
        <is>
          <t>Quản lý tài sản phần cứng</t>
        </is>
      </c>
      <c r="C32" s="7" t="inlineStr">
        <is>
          <t>7.2.2.5 c)</t>
        </is>
      </c>
      <c r="D32" s="7" t="inlineStr">
        <is>
          <t>Sao lưu dữ liệu và bản dự phòng HĐH máy chủ trước khi xóa</t>
        </is>
      </c>
      <c r="E32" s="11" t="inlineStr"/>
      <c r="F32" s="7" t="inlineStr">
        <is>
          <t>Bản sao lưu trước khi xóa</t>
        </is>
      </c>
      <c r="G32" s="7" t="inlineStr">
        <is>
          <t>Mới/khác so với cấp 4</t>
        </is>
      </c>
      <c r="H32" s="11" t="inlineStr"/>
      <c r="I32" s="11" t="inlineStr"/>
    </row>
    <row r="33">
      <c r="A33" s="7" t="inlineStr">
        <is>
          <t>7.2</t>
        </is>
      </c>
      <c r="B33" s="7" t="inlineStr">
        <is>
          <t>Quản lý tài sản phần cứng</t>
        </is>
      </c>
      <c r="C33" s="7" t="inlineStr">
        <is>
          <t>7.2.2.5 d)</t>
        </is>
      </c>
      <c r="D33" s="7" t="inlineStr">
        <is>
          <t>Kiểm chứng dữ liệu đã xóa không thể khôi phục</t>
        </is>
      </c>
      <c r="E33" s="11" t="inlineStr"/>
      <c r="F33" s="7" t="inlineStr">
        <is>
          <t>Biên bản kiểm tra sau xóa</t>
        </is>
      </c>
      <c r="G33" s="7" t="inlineStr">
        <is>
          <t>Mới/khác so với cấp 4</t>
        </is>
      </c>
      <c r="H33" s="11" t="inlineStr"/>
      <c r="I33" s="11" t="inlineStr"/>
    </row>
    <row r="34">
      <c r="A34" s="7" t="inlineStr">
        <is>
          <t>7.3</t>
        </is>
      </c>
      <c r="B34" s="7" t="inlineStr">
        <is>
          <t>Quản lý tài sản phần mềm</t>
        </is>
      </c>
      <c r="C34" s="7" t="inlineStr">
        <is>
          <t>7.3.1 a)</t>
        </is>
      </c>
      <c r="D34" s="7" t="inlineStr">
        <is>
          <t>Quản lý danh mục phần mềm; chỉ phần mềm đã phê duyệt mới được cài và dùng</t>
        </is>
      </c>
      <c r="E34" s="11" t="inlineStr"/>
      <c r="F34" s="7" t="inlineStr">
        <is>
          <t>Danh mục phần mềm, quy trình phê duyệt</t>
        </is>
      </c>
      <c r="G34" s="7" t="inlineStr"/>
      <c r="H34" s="11" t="inlineStr"/>
      <c r="I34" s="11" t="inlineStr"/>
    </row>
    <row r="35">
      <c r="A35" s="7" t="inlineStr">
        <is>
          <t>7.3</t>
        </is>
      </c>
      <c r="B35" s="7" t="inlineStr">
        <is>
          <t>Quản lý tài sản phần mềm</t>
        </is>
      </c>
      <c r="C35" s="7" t="inlineStr">
        <is>
          <t>7.3.1 b)</t>
        </is>
      </c>
      <c r="D35" s="7" t="inlineStr">
        <is>
          <t>Kiểm kê, cập nhật danh mục phần mềm ≥ 1 lần/6 tháng</t>
        </is>
      </c>
      <c r="E35" s="11" t="inlineStr"/>
      <c r="F35" s="7" t="inlineStr">
        <is>
          <t>Biên bản kiểm kê phần mềm</t>
        </is>
      </c>
      <c r="G35" s="7" t="inlineStr">
        <is>
          <t>Mới/khác so với cấp 4</t>
        </is>
      </c>
      <c r="H35" s="11" t="inlineStr"/>
      <c r="I35" s="11" t="inlineStr"/>
    </row>
    <row r="36">
      <c r="A36" s="7" t="inlineStr">
        <is>
          <t>7.3</t>
        </is>
      </c>
      <c r="B36" s="7" t="inlineStr">
        <is>
          <t>Quản lý tài sản phần mềm</t>
        </is>
      </c>
      <c r="C36" s="7" t="inlineStr">
        <is>
          <t>7.3.2.1 a)</t>
        </is>
      </c>
      <c r="D36" s="7" t="inlineStr">
        <is>
          <t>Lập danh mục phần mềm đang cài trên các thiết bị thuộc HTTT</t>
        </is>
      </c>
      <c r="E36" s="11" t="inlineStr"/>
      <c r="F36" s="7" t="inlineStr">
        <is>
          <t>Danh mục phần mềm (xuất từ công cụ inventory)</t>
        </is>
      </c>
      <c r="G36" s="7" t="inlineStr"/>
      <c r="H36" s="11" t="inlineStr"/>
      <c r="I36" s="11" t="inlineStr"/>
    </row>
    <row r="37">
      <c r="A37" s="7" t="inlineStr">
        <is>
          <t>7.3</t>
        </is>
      </c>
      <c r="B37" s="7" t="inlineStr">
        <is>
          <t>Quản lý tài sản phần mềm</t>
        </is>
      </c>
      <c r="C37" s="7" t="inlineStr">
        <is>
          <t>7.3.2.1 b)</t>
        </is>
      </c>
      <c r="D37" s="7" t="inlineStr">
        <is>
          <t>Trường tối thiểu: tên, mục đích, hạn hỗ trợ, phạm vi, chủ quản, bản quyền, phiên bản, hệ thống thành phần; gán trách nhiệm</t>
        </is>
      </c>
      <c r="E37" s="11" t="inlineStr"/>
      <c r="F37" s="7" t="inlineStr">
        <is>
          <t>Danh mục có đủ trường</t>
        </is>
      </c>
      <c r="G37" s="7" t="inlineStr"/>
      <c r="H37" s="11" t="inlineStr"/>
      <c r="I37" s="11" t="inlineStr"/>
    </row>
    <row r="38">
      <c r="A38" s="7" t="inlineStr">
        <is>
          <t>7.3</t>
        </is>
      </c>
      <c r="B38" s="7" t="inlineStr">
        <is>
          <t>Quản lý tài sản phần mềm</t>
        </is>
      </c>
      <c r="C38" s="7" t="inlineStr">
        <is>
          <t>7.3.2.2 a)</t>
        </is>
      </c>
      <c r="D38" s="7" t="inlineStr">
        <is>
          <t>Lập danh sách phần mềm được phép sử dụng (whitelist)</t>
        </is>
      </c>
      <c r="E38" s="11" t="inlineStr"/>
      <c r="F38" s="7" t="inlineStr">
        <is>
          <t>Danh sách phần mềm được phép</t>
        </is>
      </c>
      <c r="G38" s="7" t="inlineStr"/>
      <c r="H38" s="11" t="inlineStr"/>
      <c r="I38" s="11" t="inlineStr"/>
    </row>
    <row r="39">
      <c r="A39" s="7" t="inlineStr">
        <is>
          <t>7.3</t>
        </is>
      </c>
      <c r="B39" s="7" t="inlineStr">
        <is>
          <t>Quản lý tài sản phần mềm</t>
        </is>
      </c>
      <c r="C39" s="7" t="inlineStr">
        <is>
          <t>7.3.2.2 b)</t>
        </is>
      </c>
      <c r="D39" s="7" t="inlineStr">
        <is>
          <t>Whitelist gồm cả phần mềm do nhà cung cấp dịch vụ đưa vào và môi trường thực thi của ứng dụng</t>
        </is>
      </c>
      <c r="E39" s="11" t="inlineStr"/>
      <c r="F39" s="7" t="inlineStr">
        <is>
          <t>Whitelist có mục runtime/phần mềm NCC</t>
        </is>
      </c>
      <c r="G39" s="7" t="inlineStr"/>
      <c r="H39" s="11" t="inlineStr"/>
      <c r="I39" s="11" t="inlineStr"/>
    </row>
    <row r="40">
      <c r="A40" s="7" t="inlineStr">
        <is>
          <t>7.3</t>
        </is>
      </c>
      <c r="B40" s="7" t="inlineStr">
        <is>
          <t>Quản lý tài sản phần mềm</t>
        </is>
      </c>
      <c r="C40" s="7" t="inlineStr">
        <is>
          <t>7.3.2.2 c)</t>
        </is>
      </c>
      <c r="D40" s="7" t="inlineStr">
        <is>
          <t>Kiểm soát cài đặt: đặc quyền tối thiểu, chặn cài/gỡ/thực thi trái phép, theo dõi hoạt động cài đặt</t>
        </is>
      </c>
      <c r="E40" s="11" t="inlineStr"/>
      <c r="F40" s="7" t="inlineStr">
        <is>
          <t>Chính sách GPO/MDM/app control, log cài đặt</t>
        </is>
      </c>
      <c r="G40" s="7" t="inlineStr"/>
      <c r="H40" s="11" t="inlineStr"/>
      <c r="I40" s="11" t="inlineStr"/>
    </row>
    <row r="41">
      <c r="A41" s="7" t="inlineStr">
        <is>
          <t>7.3</t>
        </is>
      </c>
      <c r="B41" s="7" t="inlineStr">
        <is>
          <t>Quản lý tài sản phần mềm</t>
        </is>
      </c>
      <c r="C41" s="7" t="inlineStr">
        <is>
          <t>7.3.2.2 d)</t>
        </is>
      </c>
      <c r="D41" s="7" t="inlineStr">
        <is>
          <t>Rà soát whitelist ≥ 1 lần/6 tháng hoặc khi tổ chức thay đổi</t>
        </is>
      </c>
      <c r="E41" s="11" t="inlineStr"/>
      <c r="F41" s="7" t="inlineStr">
        <is>
          <t>Biên bản rà soát whitelist</t>
        </is>
      </c>
      <c r="G41" s="7" t="inlineStr">
        <is>
          <t>Mới/khác so với cấp 4</t>
        </is>
      </c>
      <c r="H41" s="11" t="inlineStr"/>
      <c r="I41" s="11" t="inlineStr"/>
    </row>
    <row r="42">
      <c r="A42" s="7" t="inlineStr">
        <is>
          <t>7.3</t>
        </is>
      </c>
      <c r="B42" s="7" t="inlineStr">
        <is>
          <t>Quản lý tài sản phần mềm</t>
        </is>
      </c>
      <c r="C42" s="7" t="inlineStr">
        <is>
          <t>7.3.2.3</t>
        </is>
      </c>
      <c r="D42" s="7" t="inlineStr">
        <is>
          <t>Đối chiếu whitelist với phần mềm đã cài để bảo đảm còn được hãng hỗ trợ ≥ 1 lần/6 tháng</t>
        </is>
      </c>
      <c r="E42" s="11" t="inlineStr"/>
      <c r="F42" s="7" t="inlineStr">
        <is>
          <t>Báo cáo rà soát EOL</t>
        </is>
      </c>
      <c r="G42" s="7" t="inlineStr">
        <is>
          <t>Mới/khác so với cấp 4</t>
        </is>
      </c>
      <c r="H42" s="11" t="inlineStr"/>
      <c r="I42" s="11" t="inlineStr"/>
    </row>
    <row r="43">
      <c r="A43" s="7" t="inlineStr">
        <is>
          <t>7.3</t>
        </is>
      </c>
      <c r="B43" s="7" t="inlineStr">
        <is>
          <t>Quản lý tài sản phần mềm</t>
        </is>
      </c>
      <c r="C43" s="7" t="inlineStr">
        <is>
          <t>7.3.2.4 a)</t>
        </is>
      </c>
      <c r="D43" s="7" t="inlineStr">
        <is>
          <t>Quy trình phát hiện, xử lý phần mềm trái phép ≥ 1 lần/tháng</t>
        </is>
      </c>
      <c r="E43" s="11" t="inlineStr"/>
      <c r="F43" s="7" t="inlineStr">
        <is>
          <t>Quy trình + kết quả rà soát</t>
        </is>
      </c>
      <c r="G43" s="7" t="inlineStr">
        <is>
          <t>Mới/khác so với cấp 4</t>
        </is>
      </c>
      <c r="H43" s="11" t="inlineStr"/>
      <c r="I43" s="11" t="inlineStr"/>
    </row>
    <row r="44">
      <c r="A44" s="7" t="inlineStr">
        <is>
          <t>7.3</t>
        </is>
      </c>
      <c r="B44" s="7" t="inlineStr">
        <is>
          <t>Quản lý tài sản phần mềm</t>
        </is>
      </c>
      <c r="C44" s="7" t="inlineStr">
        <is>
          <t>7.3.2.4 b)</t>
        </is>
      </c>
      <c r="D44" s="7" t="inlineStr">
        <is>
          <t>Phần mềm trái phép nhưng cần thiết đưa vào danh sách ngoại lệ, kèm biện pháp giảm thiểu</t>
        </is>
      </c>
      <c r="E44" s="11" t="inlineStr"/>
      <c r="F44" s="7" t="inlineStr">
        <is>
          <t>Danh sách ngoại lệ có biện pháp kiểm soát</t>
        </is>
      </c>
      <c r="G44" s="7" t="inlineStr"/>
      <c r="H44" s="11" t="inlineStr"/>
      <c r="I44" s="11" t="inlineStr"/>
    </row>
    <row r="45">
      <c r="A45" s="7" t="inlineStr">
        <is>
          <t>7.3</t>
        </is>
      </c>
      <c r="B45" s="7" t="inlineStr">
        <is>
          <t>Quản lý tài sản phần mềm</t>
        </is>
      </c>
      <c r="C45" s="7" t="inlineStr">
        <is>
          <t>7.3.2.4 c)</t>
        </is>
      </c>
      <c r="D45" s="7" t="inlineStr">
        <is>
          <t>Lập kế hoạch gỡ sớm phần mềm trái phép ngoài danh sách ngoại lệ</t>
        </is>
      </c>
      <c r="E45" s="11" t="inlineStr"/>
      <c r="F45" s="7" t="inlineStr">
        <is>
          <t>Kế hoạch gỡ bỏ, bằng chứng đã gỡ</t>
        </is>
      </c>
      <c r="G45" s="7" t="inlineStr"/>
      <c r="H45" s="11" t="inlineStr"/>
      <c r="I45" s="11" t="inlineStr"/>
    </row>
    <row r="46">
      <c r="A46" s="7" t="inlineStr">
        <is>
          <t>7.4</t>
        </is>
      </c>
      <c r="B46" s="7" t="inlineStr">
        <is>
          <t>Quản lý tài sản thông tin</t>
        </is>
      </c>
      <c r="C46" s="7" t="inlineStr">
        <is>
          <t>7.4.2.1 a)</t>
        </is>
      </c>
      <c r="D46" s="7" t="inlineStr">
        <is>
          <t>Quy định quản lý tài sản thông tin: danh mục, mức nhạy cảm, chủ sở hữu, cách xử lý, thời hạn lưu, yêu cầu tiêu hủy</t>
        </is>
      </c>
      <c r="E46" s="11" t="inlineStr"/>
      <c r="F46" s="7" t="inlineStr">
        <is>
          <t>Quy định quản lý tài sản thông tin</t>
        </is>
      </c>
      <c r="G46" s="7" t="inlineStr"/>
      <c r="H46" s="11" t="inlineStr"/>
      <c r="I46" s="11" t="inlineStr"/>
    </row>
    <row r="47">
      <c r="A47" s="7" t="inlineStr">
        <is>
          <t>7.4</t>
        </is>
      </c>
      <c r="B47" s="7" t="inlineStr">
        <is>
          <t>Quản lý tài sản thông tin</t>
        </is>
      </c>
      <c r="C47" s="7" t="inlineStr">
        <is>
          <t>7.4.2.1 b)</t>
        </is>
      </c>
      <c r="D47" s="7" t="inlineStr">
        <is>
          <t>Phân loại mức nhạy cảm (gợi ý 4 mức: công khai, nội bộ, hạn chế, bí mật nhà nước)</t>
        </is>
      </c>
      <c r="E47" s="11" t="inlineStr"/>
      <c r="F47" s="7" t="inlineStr">
        <is>
          <t>Bảng phân loại, nhãn dữ liệu</t>
        </is>
      </c>
      <c r="G47" s="7" t="inlineStr"/>
      <c r="H47" s="11" t="inlineStr"/>
      <c r="I47" s="11" t="inlineStr"/>
    </row>
    <row r="48">
      <c r="A48" s="7" t="inlineStr">
        <is>
          <t>7.4</t>
        </is>
      </c>
      <c r="B48" s="7" t="inlineStr">
        <is>
          <t>Quản lý tài sản thông tin</t>
        </is>
      </c>
      <c r="C48" s="7" t="inlineStr">
        <is>
          <t>7.4.2.1 c)</t>
        </is>
      </c>
      <c r="D48" s="7" t="inlineStr">
        <is>
          <t>Quy trình yêu cầu truy cập, thêm, sửa, xóa dữ liệu</t>
        </is>
      </c>
      <c r="E48" s="11" t="inlineStr"/>
      <c r="F48" s="7" t="inlineStr">
        <is>
          <t>Quy trình + phiếu yêu cầu</t>
        </is>
      </c>
      <c r="G48" s="7" t="inlineStr"/>
      <c r="H48" s="11" t="inlineStr"/>
      <c r="I48" s="11" t="inlineStr"/>
    </row>
    <row r="49">
      <c r="A49" s="7" t="inlineStr">
        <is>
          <t>7.4</t>
        </is>
      </c>
      <c r="B49" s="7" t="inlineStr">
        <is>
          <t>Quản lý tài sản thông tin</t>
        </is>
      </c>
      <c r="C49" s="7" t="inlineStr">
        <is>
          <t>7.4.2.1 d)</t>
        </is>
      </c>
      <c r="D49" s="7" t="inlineStr">
        <is>
          <t>Kiểm tra phân quyền dữ liệu ≥ 1 lần/tháng</t>
        </is>
      </c>
      <c r="E49" s="11" t="inlineStr"/>
      <c r="F49" s="7" t="inlineStr">
        <is>
          <t>Biên bản rà soát phân quyền</t>
        </is>
      </c>
      <c r="G49" s="7" t="inlineStr">
        <is>
          <t>Mới/khác so với cấp 4</t>
        </is>
      </c>
      <c r="H49" s="11" t="inlineStr"/>
      <c r="I49" s="11" t="inlineStr"/>
    </row>
    <row r="50">
      <c r="A50" s="7" t="inlineStr">
        <is>
          <t>7.4</t>
        </is>
      </c>
      <c r="B50" s="7" t="inlineStr">
        <is>
          <t>Quản lý tài sản thông tin</t>
        </is>
      </c>
      <c r="C50" s="7" t="inlineStr">
        <is>
          <t>7.4.2.1 e)</t>
        </is>
      </c>
      <c r="D50" s="7" t="inlineStr">
        <is>
          <t>Rà soát quy trình quản lý tài sản thông tin ≥ 1 lần/6 tháng hoặc khi thay đổi</t>
        </is>
      </c>
      <c r="E50" s="11" t="inlineStr"/>
      <c r="F50" s="7" t="inlineStr">
        <is>
          <t>Lịch sử phiên bản quy trình</t>
        </is>
      </c>
      <c r="G50" s="7" t="inlineStr">
        <is>
          <t>Mới/khác so với cấp 4</t>
        </is>
      </c>
      <c r="H50" s="11" t="inlineStr"/>
      <c r="I50" s="11" t="inlineStr"/>
    </row>
    <row r="51">
      <c r="A51" s="7" t="inlineStr">
        <is>
          <t>7.4</t>
        </is>
      </c>
      <c r="B51" s="7" t="inlineStr">
        <is>
          <t>Quản lý tài sản thông tin</t>
        </is>
      </c>
      <c r="C51" s="7" t="inlineStr">
        <is>
          <t>7.4.2.2 a)</t>
        </is>
      </c>
      <c r="D51" s="7" t="inlineStr">
        <is>
          <t>Lập danh mục tài sản thông tin theo quy trình đã ban hành</t>
        </is>
      </c>
      <c r="E51" s="11" t="inlineStr"/>
      <c r="F51" s="7" t="inlineStr">
        <is>
          <t>Danh mục tài sản thông tin</t>
        </is>
      </c>
      <c r="G51" s="7" t="inlineStr"/>
      <c r="H51" s="11" t="inlineStr"/>
      <c r="I51" s="11" t="inlineStr"/>
    </row>
    <row r="52">
      <c r="A52" s="7" t="inlineStr">
        <is>
          <t>7.4</t>
        </is>
      </c>
      <c r="B52" s="7" t="inlineStr">
        <is>
          <t>Quản lý tài sản thông tin</t>
        </is>
      </c>
      <c r="C52" s="7" t="inlineStr">
        <is>
          <t>7.4.2.2 b)</t>
        </is>
      </c>
      <c r="D52" s="7" t="inlineStr">
        <is>
          <t>Cập nhật danh mục tài sản thông tin ≥ 1 lần/6 tháng hoặc khi thay đổi</t>
        </is>
      </c>
      <c r="E52" s="11" t="inlineStr"/>
      <c r="F52" s="7" t="inlineStr">
        <is>
          <t>Ngày cập nhật danh mục</t>
        </is>
      </c>
      <c r="G52" s="7" t="inlineStr">
        <is>
          <t>Mới/khác so với cấp 4</t>
        </is>
      </c>
      <c r="H52" s="11" t="inlineStr"/>
      <c r="I52" s="11" t="inlineStr"/>
    </row>
    <row r="53">
      <c r="A53" s="7" t="inlineStr">
        <is>
          <t>7.4</t>
        </is>
      </c>
      <c r="B53" s="7" t="inlineStr">
        <is>
          <t>Quản lý tài sản thông tin</t>
        </is>
      </c>
      <c r="C53" s="7" t="inlineStr">
        <is>
          <t>7.4.2.3</t>
        </is>
      </c>
      <c r="D53" s="7" t="inlineStr">
        <is>
          <t>Ma trận quyền truy cập của từng tài khoản/người dùng với từng loại tài sản thông tin</t>
        </is>
      </c>
      <c r="E53" s="11" t="inlineStr"/>
      <c r="F53" s="7" t="inlineStr">
        <is>
          <t>Ma trận phân quyền (ACL)</t>
        </is>
      </c>
      <c r="G53" s="7" t="inlineStr"/>
      <c r="H53" s="11" t="inlineStr"/>
      <c r="I53" s="11" t="inlineStr"/>
    </row>
    <row r="54">
      <c r="A54" s="7" t="inlineStr">
        <is>
          <t>7.4</t>
        </is>
      </c>
      <c r="B54" s="7" t="inlineStr">
        <is>
          <t>Quản lý tài sản thông tin</t>
        </is>
      </c>
      <c r="C54" s="7" t="inlineStr">
        <is>
          <t>7.4.2.4 a)</t>
        </is>
      </c>
      <c r="D54" s="7" t="inlineStr">
        <is>
          <t>Mã hóa (hoặc tương đương) thông tin xác thực, dữ liệu nhạy cảm cao, dữ liệu quan trọng khi lưu</t>
        </is>
      </c>
      <c r="E54" s="11" t="inlineStr"/>
      <c r="F54" s="7" t="inlineStr">
        <is>
          <t>Cấu hình mã hóa (DB/đĩa/hash mật khẩu)</t>
        </is>
      </c>
      <c r="G54" s="7" t="inlineStr"/>
      <c r="H54" s="11" t="inlineStr"/>
      <c r="I54" s="11" t="inlineStr"/>
    </row>
    <row r="55">
      <c r="A55" s="7" t="inlineStr">
        <is>
          <t>7.4</t>
        </is>
      </c>
      <c r="B55" s="7" t="inlineStr">
        <is>
          <t>Quản lý tài sản thông tin</t>
        </is>
      </c>
      <c r="C55" s="7" t="inlineStr">
        <is>
          <t>7.4.2.4 b)</t>
        </is>
      </c>
      <c r="D55" s="7" t="inlineStr">
        <is>
          <t>Bảo vệ thông tin xác thực, dữ liệu nhạy cảm cao/quan trọng khi truyền bằng mã hóa, ký số hoặc tương đương</t>
        </is>
      </c>
      <c r="E55" s="11" t="inlineStr"/>
      <c r="F55" s="7" t="inlineStr">
        <is>
          <t>Cấu hình TLS/VPN, kết quả kiểm tra</t>
        </is>
      </c>
      <c r="G55" s="7" t="inlineStr">
        <is>
          <t>Mới/khác so với cấp 4</t>
        </is>
      </c>
      <c r="H55" s="11" t="inlineStr"/>
      <c r="I55" s="11" t="inlineStr"/>
    </row>
    <row r="56">
      <c r="A56" s="7" t="inlineStr">
        <is>
          <t>7.4</t>
        </is>
      </c>
      <c r="B56" s="7" t="inlineStr">
        <is>
          <t>Quản lý tài sản thông tin</t>
        </is>
      </c>
      <c r="C56" s="7" t="inlineStr">
        <is>
          <t>7.4.2.4 c)</t>
        </is>
      </c>
      <c r="D56" s="7" t="inlineStr">
        <is>
          <t>Dùng phương án chuyên dụng để bảo vệ, quản lý vòng đời khóa mã hóa</t>
        </is>
      </c>
      <c r="E56" s="11" t="inlineStr"/>
      <c r="F56" s="7" t="inlineStr">
        <is>
          <t>Quy trình quản lý khóa, KMS</t>
        </is>
      </c>
      <c r="G56" s="7" t="inlineStr">
        <is>
          <t>Mới/khác so với cấp 4</t>
        </is>
      </c>
      <c r="H56" s="11" t="inlineStr"/>
      <c r="I56" s="11" t="inlineStr"/>
    </row>
    <row r="57">
      <c r="A57" s="7" t="inlineStr">
        <is>
          <t>7.4</t>
        </is>
      </c>
      <c r="B57" s="7" t="inlineStr">
        <is>
          <t>Quản lý tài sản thông tin</t>
        </is>
      </c>
      <c r="C57" s="7" t="inlineStr">
        <is>
          <t>7.4.2.4 d)</t>
        </is>
      </c>
      <c r="D57" s="7" t="inlineStr">
        <is>
          <t>Dữ liệu quan trọng được mã hóa ít nhất 2 lớp khi truyền qua mạng (kênh an toàn + mã hóa nội dung)</t>
        </is>
      </c>
      <c r="E57" s="11" t="inlineStr"/>
      <c r="F57" s="7" t="inlineStr">
        <is>
          <t>Sơ đồ luồng mã hóa 2 lớp</t>
        </is>
      </c>
      <c r="G57" s="7" t="inlineStr"/>
      <c r="H57" s="11" t="inlineStr"/>
      <c r="I57" s="11" t="inlineStr"/>
    </row>
    <row r="58">
      <c r="A58" s="7" t="inlineStr">
        <is>
          <t>7.4</t>
        </is>
      </c>
      <c r="B58" s="7" t="inlineStr">
        <is>
          <t>Quản lý tài sản thông tin</t>
        </is>
      </c>
      <c r="C58" s="7" t="inlineStr">
        <is>
          <t>7.4.2.4 e)</t>
        </is>
      </c>
      <c r="D58" s="7" t="inlineStr">
        <is>
          <t>Chỉ dùng thuật toán mã hóa mạnh, chưa bị tổ chức quốc tế công bố điểm yếu</t>
        </is>
      </c>
      <c r="E58" s="11" t="inlineStr"/>
      <c r="F58" s="7" t="inlineStr">
        <is>
          <t>Danh mục thuật toán được phép</t>
        </is>
      </c>
      <c r="G58" s="7" t="inlineStr"/>
      <c r="H58" s="11" t="inlineStr"/>
      <c r="I58" s="11" t="inlineStr"/>
    </row>
    <row r="59">
      <c r="A59" s="7" t="inlineStr">
        <is>
          <t>7.4</t>
        </is>
      </c>
      <c r="B59" s="7" t="inlineStr">
        <is>
          <t>Quản lý tài sản thông tin</t>
        </is>
      </c>
      <c r="C59" s="7" t="inlineStr">
        <is>
          <t>7.4.2.4 f)</t>
        </is>
      </c>
      <c r="D59" s="7" t="inlineStr">
        <is>
          <t>Dùng thiết bị phần cứng chuyên dụng cho mã hóa/giải mã (ví dụ HSM)</t>
        </is>
      </c>
      <c r="E59" s="11" t="inlineStr"/>
      <c r="F59" s="7" t="inlineStr">
        <is>
          <t>Hồ sơ thiết bị mã hóa chuyên dụng</t>
        </is>
      </c>
      <c r="G59" s="7" t="inlineStr">
        <is>
          <t>Mới/khác so với cấp 4</t>
        </is>
      </c>
      <c r="H59" s="11" t="inlineStr"/>
      <c r="I59" s="11" t="inlineStr"/>
    </row>
    <row r="60">
      <c r="A60" s="7" t="inlineStr">
        <is>
          <t>7.4</t>
        </is>
      </c>
      <c r="B60" s="7" t="inlineStr">
        <is>
          <t>Quản lý tài sản thông tin</t>
        </is>
      </c>
      <c r="C60" s="7" t="inlineStr">
        <is>
          <t>7.4.2.5 a)</t>
        </is>
      </c>
      <c r="D60" s="7" t="inlineStr">
        <is>
          <t>Lưu dữ liệu quan trọng kèm mã kiểm tra toàn vẹn (checksum/hash/chữ ký)</t>
        </is>
      </c>
      <c r="E60" s="11" t="inlineStr"/>
      <c r="F60" s="7" t="inlineStr">
        <is>
          <t>Thiết kế kiểm tra toàn vẹn</t>
        </is>
      </c>
      <c r="G60" s="7" t="inlineStr"/>
      <c r="H60" s="11" t="inlineStr"/>
      <c r="I60" s="11" t="inlineStr"/>
    </row>
    <row r="61">
      <c r="A61" s="7" t="inlineStr">
        <is>
          <t>7.4</t>
        </is>
      </c>
      <c r="B61" s="7" t="inlineStr">
        <is>
          <t>Quản lý tài sản thông tin</t>
        </is>
      </c>
      <c r="C61" s="7" t="inlineStr">
        <is>
          <t>7.4.2.5 b)</t>
        </is>
      </c>
      <c r="D61" s="7" t="inlineStr">
        <is>
          <t>Giám sát, cảnh báo khi dữ liệu trên hệ thống/phương tiện lưu trữ bị thay đổi</t>
        </is>
      </c>
      <c r="E61" s="11" t="inlineStr"/>
      <c r="F61" s="7" t="inlineStr">
        <is>
          <t>Cấu hình FIM, cảnh báo</t>
        </is>
      </c>
      <c r="G61" s="7" t="inlineStr"/>
      <c r="H61" s="11" t="inlineStr"/>
      <c r="I61" s="11" t="inlineStr"/>
    </row>
    <row r="62">
      <c r="A62" s="7" t="inlineStr">
        <is>
          <t>7.4</t>
        </is>
      </c>
      <c r="B62" s="7" t="inlineStr">
        <is>
          <t>Quản lý tài sản thông tin</t>
        </is>
      </c>
      <c r="C62" s="7" t="inlineStr">
        <is>
          <t>7.4.2.5 c)</t>
        </is>
      </c>
      <c r="D62" s="7" t="inlineStr">
        <is>
          <t>Có phương án khôi phục tính toàn vẹn của dữ liệu</t>
        </is>
      </c>
      <c r="E62" s="11" t="inlineStr"/>
      <c r="F62" s="7" t="inlineStr">
        <is>
          <t>Phương án khôi phục</t>
        </is>
      </c>
      <c r="G62" s="7" t="inlineStr"/>
      <c r="H62" s="11" t="inlineStr"/>
      <c r="I62" s="11" t="inlineStr"/>
    </row>
    <row r="63">
      <c r="A63" s="7" t="inlineStr">
        <is>
          <t>7.4</t>
        </is>
      </c>
      <c r="B63" s="7" t="inlineStr">
        <is>
          <t>Quản lý tài sản thông tin</t>
        </is>
      </c>
      <c r="C63" s="7" t="inlineStr">
        <is>
          <t>7.4.2.6 a)</t>
        </is>
      </c>
      <c r="D63" s="7" t="inlineStr">
        <is>
          <t>Tài liệu hóa toàn bộ luồng dữ liệu trong HTTT</t>
        </is>
      </c>
      <c r="E63" s="11" t="inlineStr"/>
      <c r="F63" s="7" t="inlineStr">
        <is>
          <t>Sơ đồ luồng dữ liệu</t>
        </is>
      </c>
      <c r="G63" s="7" t="inlineStr"/>
      <c r="H63" s="11" t="inlineStr"/>
      <c r="I63" s="11" t="inlineStr"/>
    </row>
    <row r="64">
      <c r="A64" s="7" t="inlineStr">
        <is>
          <t>7.4</t>
        </is>
      </c>
      <c r="B64" s="7" t="inlineStr">
        <is>
          <t>Quản lý tài sản thông tin</t>
        </is>
      </c>
      <c r="C64" s="7" t="inlineStr">
        <is>
          <t>7.4.2.6 b)</t>
        </is>
      </c>
      <c r="D64" s="7" t="inlineStr">
        <is>
          <t>Áp dụng quy định quản lý phiên bản tài liệu</t>
        </is>
      </c>
      <c r="E64" s="11" t="inlineStr"/>
      <c r="F64" s="7" t="inlineStr">
        <is>
          <t>Quy định quản lý tài liệu</t>
        </is>
      </c>
      <c r="G64" s="7" t="inlineStr"/>
      <c r="H64" s="11" t="inlineStr"/>
      <c r="I64" s="11" t="inlineStr"/>
    </row>
    <row r="65">
      <c r="A65" s="7" t="inlineStr">
        <is>
          <t>7.4</t>
        </is>
      </c>
      <c r="B65" s="7" t="inlineStr">
        <is>
          <t>Quản lý tài sản thông tin</t>
        </is>
      </c>
      <c r="C65" s="7" t="inlineStr">
        <is>
          <t>7.4.2.6 c)</t>
        </is>
      </c>
      <c r="D65" s="7" t="inlineStr">
        <is>
          <t>Cập nhật tài liệu luồng dữ liệu ≥ 1 lần/năm hoặc khi thay đổi</t>
        </is>
      </c>
      <c r="E65" s="11" t="inlineStr"/>
      <c r="F65" s="7" t="inlineStr">
        <is>
          <t>Lịch sử phiên bản</t>
        </is>
      </c>
      <c r="G65" s="7" t="inlineStr"/>
      <c r="H65" s="11" t="inlineStr"/>
      <c r="I65" s="11" t="inlineStr"/>
    </row>
    <row r="66">
      <c r="A66" s="7" t="inlineStr">
        <is>
          <t>7.4</t>
        </is>
      </c>
      <c r="B66" s="7" t="inlineStr">
        <is>
          <t>Quản lý tài sản thông tin</t>
        </is>
      </c>
      <c r="C66" s="7" t="inlineStr">
        <is>
          <t>7.4.2.7 a)</t>
        </is>
      </c>
      <c r="D66" s="7" t="inlineStr">
        <is>
          <t>Có quy định về xử lý dữ liệu nhạy cảm</t>
        </is>
      </c>
      <c r="E66" s="11" t="inlineStr"/>
      <c r="F66" s="7" t="inlineStr">
        <is>
          <t>Quy định xử lý dữ liệu</t>
        </is>
      </c>
      <c r="G66" s="7" t="inlineStr"/>
      <c r="H66" s="11" t="inlineStr"/>
      <c r="I66" s="11" t="inlineStr"/>
    </row>
    <row r="67">
      <c r="A67" s="7" t="inlineStr">
        <is>
          <t>7.4</t>
        </is>
      </c>
      <c r="B67" s="7" t="inlineStr">
        <is>
          <t>Quản lý tài sản thông tin</t>
        </is>
      </c>
      <c r="C67" s="7" t="inlineStr">
        <is>
          <t>7.4.2.7 b)</t>
        </is>
      </c>
      <c r="D67" s="7" t="inlineStr">
        <is>
          <t>Tách môi trường xử lý/lưu dữ liệu nhạy cảm cao, quan trọng khỏi dữ liệu nhạy cảm thấp (logic/vật lý hoặc tương đương)</t>
        </is>
      </c>
      <c r="E67" s="11" t="inlineStr"/>
      <c r="F67" s="7" t="inlineStr">
        <is>
          <t>Sơ đồ phân tách môi trường</t>
        </is>
      </c>
      <c r="G67" s="7" t="inlineStr"/>
      <c r="H67" s="11" t="inlineStr"/>
      <c r="I67" s="11" t="inlineStr"/>
    </row>
    <row r="68">
      <c r="A68" s="7" t="inlineStr">
        <is>
          <t>7.4</t>
        </is>
      </c>
      <c r="B68" s="7" t="inlineStr">
        <is>
          <t>Quản lý tài sản thông tin</t>
        </is>
      </c>
      <c r="C68" s="7" t="inlineStr">
        <is>
          <t>7.4.2.7 c)</t>
        </is>
      </c>
      <c r="D68" s="7" t="inlineStr">
        <is>
          <t>Dùng kênh vật lý riêng hoặc tương đương khi truyền dữ liệu quan trọng/nhạy cảm cao qua mạng</t>
        </is>
      </c>
      <c r="E68" s="11" t="inlineStr"/>
      <c r="F68" s="7" t="inlineStr">
        <is>
          <t>Thiết kế kênh truyền riêng</t>
        </is>
      </c>
      <c r="G68" s="7" t="inlineStr"/>
      <c r="H68" s="11" t="inlineStr"/>
      <c r="I68" s="11" t="inlineStr"/>
    </row>
    <row r="69">
      <c r="A69" s="7" t="inlineStr">
        <is>
          <t>7.4</t>
        </is>
      </c>
      <c r="B69" s="7" t="inlineStr">
        <is>
          <t>Quản lý tài sản thông tin</t>
        </is>
      </c>
      <c r="C69" s="7" t="inlineStr">
        <is>
          <t>7.4.2.8</t>
        </is>
      </c>
      <c r="D69" s="7" t="inlineStr">
        <is>
          <t>Triển khai giải pháp chống thất thoát dữ liệu (DLP) cho dữ liệu nhạy cảm cao/quan trọng</t>
        </is>
      </c>
      <c r="E69" s="11" t="inlineStr"/>
      <c r="F69" s="7" t="inlineStr">
        <is>
          <t>Hồ sơ giải pháp DLP, chính sách</t>
        </is>
      </c>
      <c r="G69" s="7" t="inlineStr"/>
      <c r="H69" s="11" t="inlineStr"/>
      <c r="I69" s="11" t="inlineStr"/>
    </row>
    <row r="70">
      <c r="A70" s="7" t="inlineStr">
        <is>
          <t>7.4</t>
        </is>
      </c>
      <c r="B70" s="7" t="inlineStr">
        <is>
          <t>Quản lý tài sản thông tin</t>
        </is>
      </c>
      <c r="C70" s="7" t="inlineStr">
        <is>
          <t>7.4.2.9 a)</t>
        </is>
      </c>
      <c r="D70" s="7" t="inlineStr">
        <is>
          <t>Ghi log mọi thao tác trên dữ liệu nhạy cảm cao/quan trọng</t>
        </is>
      </c>
      <c r="E70" s="11" t="inlineStr"/>
      <c r="F70" s="7" t="inlineStr">
        <is>
          <t>Cấu hình audit log dữ liệu</t>
        </is>
      </c>
      <c r="G70" s="7" t="inlineStr"/>
      <c r="H70" s="11" t="inlineStr"/>
      <c r="I70" s="11" t="inlineStr"/>
    </row>
    <row r="71">
      <c r="A71" s="7" t="inlineStr">
        <is>
          <t>7.4</t>
        </is>
      </c>
      <c r="B71" s="7" t="inlineStr">
        <is>
          <t>Quản lý tài sản thông tin</t>
        </is>
      </c>
      <c r="C71" s="7" t="inlineStr">
        <is>
          <t>7.4.2.9 b)</t>
        </is>
      </c>
      <c r="D71" s="7" t="inlineStr">
        <is>
          <t>Rà soát log truy cập dữ liệu quan trọng ≥ 1 lần/tháng</t>
        </is>
      </c>
      <c r="E71" s="11" t="inlineStr"/>
      <c r="F71" s="7" t="inlineStr">
        <is>
          <t>Biên bản rà soát</t>
        </is>
      </c>
      <c r="G71" s="7" t="inlineStr">
        <is>
          <t>Mới/khác so với cấp 4</t>
        </is>
      </c>
      <c r="H71" s="11" t="inlineStr"/>
      <c r="I71" s="11" t="inlineStr"/>
    </row>
    <row r="72">
      <c r="A72" s="7" t="inlineStr">
        <is>
          <t>7.4</t>
        </is>
      </c>
      <c r="B72" s="7" t="inlineStr">
        <is>
          <t>Quản lý tài sản thông tin</t>
        </is>
      </c>
      <c r="C72" s="7" t="inlineStr">
        <is>
          <t>7.4.2.10 a)</t>
        </is>
      </c>
      <c r="D72" s="7" t="inlineStr">
        <is>
          <t>Dùng chữ ký số để ký, xác thực và kiểm tra toàn vẹn khi trao đổi dữ liệu nhạy cảm cao/quan trọng</t>
        </is>
      </c>
      <c r="E72" s="11" t="inlineStr"/>
      <c r="F72" s="7" t="inlineStr">
        <is>
          <t>Quy định ký số, mẫu đã ký</t>
        </is>
      </c>
      <c r="G72" s="7" t="inlineStr">
        <is>
          <t>Mới/khác so với cấp 4</t>
        </is>
      </c>
      <c r="H72" s="11" t="inlineStr"/>
      <c r="I72" s="11" t="inlineStr"/>
    </row>
    <row r="73">
      <c r="A73" s="7" t="inlineStr">
        <is>
          <t>7.4</t>
        </is>
      </c>
      <c r="B73" s="7" t="inlineStr">
        <is>
          <t>Quản lý tài sản thông tin</t>
        </is>
      </c>
      <c r="C73" s="7" t="inlineStr">
        <is>
          <t>7.4.2.10 b)</t>
        </is>
      </c>
      <c r="D73" s="7" t="inlineStr">
        <is>
          <t>Chữ ký số do cơ quan có thẩm quyền hoặc tổ chức cung cấp dịch vụ được cấp phép cung cấp</t>
        </is>
      </c>
      <c r="E73" s="11" t="inlineStr"/>
      <c r="F73" s="7" t="inlineStr">
        <is>
          <t>Chứng thư số, hợp đồng CA</t>
        </is>
      </c>
      <c r="G73" s="7" t="inlineStr"/>
      <c r="H73" s="11" t="inlineStr"/>
      <c r="I73" s="11" t="inlineStr"/>
    </row>
    <row r="74">
      <c r="A74" s="7" t="inlineStr">
        <is>
          <t>7.4</t>
        </is>
      </c>
      <c r="B74" s="7" t="inlineStr">
        <is>
          <t>Quản lý tài sản thông tin</t>
        </is>
      </c>
      <c r="C74" s="7" t="inlineStr">
        <is>
          <t>7.4.2.10 c)</t>
        </is>
      </c>
      <c r="D74" s="7" t="inlineStr">
        <is>
          <t>Có phương án bảo đảm an ninh khi quản lý và sử dụng chữ ký số</t>
        </is>
      </c>
      <c r="E74" s="11" t="inlineStr"/>
      <c r="F74" s="7" t="inlineStr">
        <is>
          <t>Quy định quản lý token/chứng thư</t>
        </is>
      </c>
      <c r="G74" s="7" t="inlineStr"/>
      <c r="H74" s="11" t="inlineStr"/>
      <c r="I74" s="11" t="inlineStr"/>
    </row>
    <row r="75">
      <c r="A75" s="7" t="inlineStr">
        <is>
          <t>7.4</t>
        </is>
      </c>
      <c r="B75" s="7" t="inlineStr">
        <is>
          <t>Quản lý tài sản thông tin</t>
        </is>
      </c>
      <c r="C75" s="7" t="inlineStr">
        <is>
          <t>7.4.2.10 d)</t>
        </is>
      </c>
      <c r="D75" s="7" t="inlineStr">
        <is>
          <t>Dùng thiết bị, phương tiện chuyên dụng để ký và giải mã khi gửi/nhận</t>
        </is>
      </c>
      <c r="E75" s="11" t="inlineStr"/>
      <c r="F75" s="7" t="inlineStr">
        <is>
          <t>Hồ sơ thiết bị ký chuyên dụng</t>
        </is>
      </c>
      <c r="G75" s="7" t="inlineStr">
        <is>
          <t>Mới/khác so với cấp 4</t>
        </is>
      </c>
      <c r="H75" s="11" t="inlineStr"/>
      <c r="I75" s="11" t="inlineStr"/>
    </row>
    <row r="76">
      <c r="A76" s="7" t="inlineStr">
        <is>
          <t>7.5</t>
        </is>
      </c>
      <c r="B76" s="7" t="inlineStr">
        <is>
          <t>Cấu hình an toàn phần cứng, phần mềm</t>
        </is>
      </c>
      <c r="C76" s="7" t="inlineStr">
        <is>
          <t>7.5.2.1 a)</t>
        </is>
      </c>
      <c r="D76" s="7" t="inlineStr">
        <is>
          <t>Ban hành quy định/quy trình cấu hình an toàn cho phần cứng và phần mềm</t>
        </is>
      </c>
      <c r="E76" s="11" t="inlineStr"/>
      <c r="F76" s="7" t="inlineStr">
        <is>
          <t>Quy trình cấu hình an toàn</t>
        </is>
      </c>
      <c r="G76" s="7" t="inlineStr"/>
      <c r="H76" s="11" t="inlineStr"/>
      <c r="I76" s="11" t="inlineStr"/>
    </row>
    <row r="77">
      <c r="A77" s="7" t="inlineStr">
        <is>
          <t>7.5</t>
        </is>
      </c>
      <c r="B77" s="7" t="inlineStr">
        <is>
          <t>Cấu hình an toàn phần cứng, phần mềm</t>
        </is>
      </c>
      <c r="C77" s="7" t="inlineStr">
        <is>
          <t>7.5.2.1 b)</t>
        </is>
      </c>
      <c r="D77" s="7" t="inlineStr">
        <is>
          <t>Có tài liệu cấu hình chuẩn/hardening; giao thức an toàn; tường lửa host; chống tự động đăng nhập trên tài sản xử lý dữ liệu quan trọng</t>
        </is>
      </c>
      <c r="E77" s="11" t="inlineStr"/>
      <c r="F77" s="7" t="inlineStr">
        <is>
          <t>Baseline cấu hình (vd theo CIS), ảnh chụp cấu hình</t>
        </is>
      </c>
      <c r="G77" s="7" t="inlineStr"/>
      <c r="H77" s="11" t="inlineStr"/>
      <c r="I77" s="11" t="inlineStr"/>
    </row>
    <row r="78">
      <c r="A78" s="7" t="inlineStr">
        <is>
          <t>7.5</t>
        </is>
      </c>
      <c r="B78" s="7" t="inlineStr">
        <is>
          <t>Cấu hình an toàn phần cứng, phần mềm</t>
        </is>
      </c>
      <c r="C78" s="7" t="inlineStr">
        <is>
          <t>7.5.2.1 c)</t>
        </is>
      </c>
      <c r="D78" s="7" t="inlineStr">
        <is>
          <t>Tắt giao thức mạng không an toàn và dịch vụ không dùng</t>
        </is>
      </c>
      <c r="E78" s="11" t="inlineStr"/>
      <c r="F78" s="7" t="inlineStr">
        <is>
          <t>Kết quả quét cổng/dịch vụ</t>
        </is>
      </c>
      <c r="G78" s="7" t="inlineStr"/>
      <c r="H78" s="11" t="inlineStr"/>
      <c r="I78" s="11" t="inlineStr"/>
    </row>
    <row r="79">
      <c r="A79" s="7" t="inlineStr">
        <is>
          <t>7.5</t>
        </is>
      </c>
      <c r="B79" s="7" t="inlineStr">
        <is>
          <t>Cấu hình an toàn phần cứng, phần mềm</t>
        </is>
      </c>
      <c r="C79" s="7" t="inlineStr">
        <is>
          <t>7.5.2.1 d)</t>
        </is>
      </c>
      <c r="D79" s="7" t="inlineStr">
        <is>
          <t>Hardening thiết bị trước khi đưa vào vận hành</t>
        </is>
      </c>
      <c r="E79" s="11" t="inlineStr"/>
      <c r="F79" s="7" t="inlineStr">
        <is>
          <t>Checklist hardening trước go-live</t>
        </is>
      </c>
      <c r="G79" s="7" t="inlineStr"/>
      <c r="H79" s="11" t="inlineStr"/>
      <c r="I79" s="11" t="inlineStr"/>
    </row>
    <row r="80">
      <c r="A80" s="7" t="inlineStr">
        <is>
          <t>7.5</t>
        </is>
      </c>
      <c r="B80" s="7" t="inlineStr">
        <is>
          <t>Cấu hình an toàn phần cứng, phần mềm</t>
        </is>
      </c>
      <c r="C80" s="7" t="inlineStr">
        <is>
          <t>7.5.2.1 e)</t>
        </is>
      </c>
      <c r="D80" s="7" t="inlineStr">
        <is>
          <t>Rà soát quy định và tài liệu cấu hình ≥ 1 lần/năm hoặc khi thay đổi</t>
        </is>
      </c>
      <c r="E80" s="11" t="inlineStr"/>
      <c r="F80" s="7" t="inlineStr">
        <is>
          <t>Lịch sử phiên bản</t>
        </is>
      </c>
      <c r="G80" s="7" t="inlineStr"/>
      <c r="H80" s="11" t="inlineStr"/>
      <c r="I80" s="11" t="inlineStr"/>
    </row>
    <row r="81">
      <c r="A81" s="7" t="inlineStr">
        <is>
          <t>7.5</t>
        </is>
      </c>
      <c r="B81" s="7" t="inlineStr">
        <is>
          <t>Cấu hình an toàn phần cứng, phần mềm</t>
        </is>
      </c>
      <c r="C81" s="7" t="inlineStr">
        <is>
          <t>7.5.2.2 a)</t>
        </is>
      </c>
      <c r="D81" s="7" t="inlineStr">
        <is>
          <t>Tự khóa phiên theo đánh giá rủi ro — gợi ý: máy người dùng ≤ 15'; phiên quản trị, di động ≤ 5'; phần mềm nghiệp vụ dữ liệu quan trọng ≤ 15'</t>
        </is>
      </c>
      <c r="E81" s="11" t="inlineStr"/>
      <c r="F81" s="7" t="inlineStr">
        <is>
          <t>GPO/MDM/cấu hình timeout</t>
        </is>
      </c>
      <c r="G81" s="7" t="inlineStr"/>
      <c r="H81" s="11" t="inlineStr"/>
      <c r="I81" s="11" t="inlineStr"/>
    </row>
    <row r="82">
      <c r="A82" s="7" t="inlineStr">
        <is>
          <t>7.5</t>
        </is>
      </c>
      <c r="B82" s="7" t="inlineStr">
        <is>
          <t>Cấu hình an toàn phần cứng, phần mềm</t>
        </is>
      </c>
      <c r="C82" s="7" t="inlineStr">
        <is>
          <t>7.5.2.2 a)</t>
        </is>
      </c>
      <c r="D82" s="7" t="inlineStr">
        <is>
          <t>Khóa khi đăng nhập sai — gợi ý: laptop, điện thoại ≤ 10 lần; phần mềm nghiệp vụ dữ liệu quan trọng ≤ 5 lần; khóa 12 giờ–30 ngày</t>
        </is>
      </c>
      <c r="E82" s="11" t="inlineStr"/>
      <c r="F82" s="7" t="inlineStr">
        <is>
          <t>Cấu hình lockout</t>
        </is>
      </c>
      <c r="G82" s="7" t="inlineStr"/>
      <c r="H82" s="11" t="inlineStr"/>
      <c r="I82" s="11" t="inlineStr"/>
    </row>
    <row r="83">
      <c r="A83" s="7" t="inlineStr">
        <is>
          <t>7.5</t>
        </is>
      </c>
      <c r="B83" s="7" t="inlineStr">
        <is>
          <t>Cấu hình an toàn phần cứng, phần mềm</t>
        </is>
      </c>
      <c r="C83" s="7" t="inlineStr">
        <is>
          <t>7.5.2.2 b)</t>
        </is>
      </c>
      <c r="D83" s="7" t="inlineStr">
        <is>
          <t>Có cơ chế mở khóa khẩn cấp cho quản trị viên/tài khoản đặc quyền</t>
        </is>
      </c>
      <c r="E83" s="11" t="inlineStr"/>
      <c r="F83" s="7" t="inlineStr">
        <is>
          <t>Quy trình break-glass</t>
        </is>
      </c>
      <c r="G83" s="7" t="inlineStr"/>
      <c r="H83" s="11" t="inlineStr"/>
      <c r="I83" s="11" t="inlineStr"/>
    </row>
    <row r="84">
      <c r="A84" s="7" t="inlineStr">
        <is>
          <t>7.5</t>
        </is>
      </c>
      <c r="B84" s="7" t="inlineStr">
        <is>
          <t>Cấu hình an toàn phần cứng, phần mềm</t>
        </is>
      </c>
      <c r="C84" s="7" t="inlineStr">
        <is>
          <t>7.5.2.3</t>
        </is>
      </c>
      <c r="D84" s="7" t="inlineStr">
        <is>
          <t>Quy định gỡ bỏ/tắt tính năng, dịch vụ không cần thiết</t>
        </is>
      </c>
      <c r="E84" s="11" t="inlineStr"/>
      <c r="F84" s="7" t="inlineStr">
        <is>
          <t>Quy định + checklist</t>
        </is>
      </c>
      <c r="G84" s="7" t="inlineStr"/>
      <c r="H84" s="11" t="inlineStr"/>
      <c r="I84" s="11" t="inlineStr"/>
    </row>
    <row r="85">
      <c r="A85" s="7" t="inlineStr">
        <is>
          <t>7.5</t>
        </is>
      </c>
      <c r="B85" s="7" t="inlineStr">
        <is>
          <t>Cấu hình an toàn phần cứng, phần mềm</t>
        </is>
      </c>
      <c r="C85" s="7" t="inlineStr">
        <is>
          <t>7.5.2.4</t>
        </is>
      </c>
      <c r="D85" s="7" t="inlineStr">
        <is>
          <t>Cấu hình máy chủ DNS tin cậy trên thiết bị (nếu có)</t>
        </is>
      </c>
      <c r="E85" s="11" t="inlineStr"/>
      <c r="F85" s="7" t="inlineStr">
        <is>
          <t>Cấu hình DNS</t>
        </is>
      </c>
      <c r="G85" s="7" t="inlineStr"/>
      <c r="H85" s="11" t="inlineStr"/>
      <c r="I85" s="11" t="inlineStr"/>
    </row>
    <row r="86">
      <c r="A86" s="7" t="inlineStr">
        <is>
          <t>7.5</t>
        </is>
      </c>
      <c r="B86" s="7" t="inlineStr">
        <is>
          <t>Cấu hình an toàn phần cứng, phần mềm</t>
        </is>
      </c>
      <c r="C86" s="7" t="inlineStr">
        <is>
          <t>7.5.2.5</t>
        </is>
      </c>
      <c r="D86" s="7" t="inlineStr">
        <is>
          <t>Xóa được dữ liệu từ xa trên điện thoại, máy tính bảng do tổ chức cấp</t>
        </is>
      </c>
      <c r="E86" s="11" t="inlineStr"/>
      <c r="F86" s="7" t="inlineStr">
        <is>
          <t>Hồ sơ MDM (remote wipe)</t>
        </is>
      </c>
      <c r="G86" s="7" t="inlineStr"/>
      <c r="H86" s="11" t="inlineStr"/>
      <c r="I86" s="11" t="inlineStr"/>
    </row>
    <row r="87">
      <c r="A87" s="7" t="inlineStr">
        <is>
          <t>7.5</t>
        </is>
      </c>
      <c r="B87" s="7" t="inlineStr">
        <is>
          <t>Cấu hình an toàn phần cứng, phần mềm</t>
        </is>
      </c>
      <c r="C87" s="7" t="inlineStr">
        <is>
          <t>7.5.2.6 a)</t>
        </is>
      </c>
      <c r="D87" s="7" t="inlineStr">
        <is>
          <t>Quy định tách không gian làm việc riêng trên thiết bị di động cấp phát</t>
        </is>
      </c>
      <c r="E87" s="11" t="inlineStr"/>
      <c r="F87" s="7" t="inlineStr">
        <is>
          <t>Quy định, cấu hình work profile</t>
        </is>
      </c>
      <c r="G87" s="7" t="inlineStr"/>
      <c r="H87" s="11" t="inlineStr"/>
      <c r="I87" s="11" t="inlineStr"/>
    </row>
    <row r="88">
      <c r="A88" s="7" t="inlineStr">
        <is>
          <t>7.5</t>
        </is>
      </c>
      <c r="B88" s="7" t="inlineStr">
        <is>
          <t>Cấu hình an toàn phần cứng, phần mềm</t>
        </is>
      </c>
      <c r="C88" s="7" t="inlineStr">
        <is>
          <t>7.5.2.6 b)</t>
        </is>
      </c>
      <c r="D88" s="7" t="inlineStr">
        <is>
          <t>Có giải pháp kỹ thuật quản lý thiết bị di động khi kết nối hệ thống (MDM)</t>
        </is>
      </c>
      <c r="E88" s="11" t="inlineStr"/>
      <c r="F88" s="7" t="inlineStr">
        <is>
          <t>Hồ sơ MDM</t>
        </is>
      </c>
      <c r="G88" s="7" t="inlineStr">
        <is>
          <t>Mới/khác so với cấp 4</t>
        </is>
      </c>
      <c r="H88" s="11" t="inlineStr"/>
      <c r="I88" s="11" t="inlineStr"/>
    </row>
    <row r="89">
      <c r="A89" s="7" t="inlineStr">
        <is>
          <t>7.6</t>
        </is>
      </c>
      <c r="B89" s="7" t="inlineStr">
        <is>
          <t>Quản lý tài khoản và quyền truy cập</t>
        </is>
      </c>
      <c r="C89" s="7" t="inlineStr">
        <is>
          <t>7.6.1 a)</t>
        </is>
      </c>
      <c r="D89" s="7" t="inlineStr">
        <is>
          <t>Quy trình, công cụ cấp/thu hồi quyền cho 4 loại tài khoản (quản trị, tác nghiệp, kỹ thuật, dịch vụ) theo vai trò</t>
        </is>
      </c>
      <c r="E89" s="11" t="inlineStr"/>
      <c r="F89" s="7" t="inlineStr">
        <is>
          <t>Quy trình quản lý tài khoản</t>
        </is>
      </c>
      <c r="G89" s="7" t="inlineStr"/>
      <c r="H89" s="11" t="inlineStr"/>
      <c r="I89" s="11" t="inlineStr"/>
    </row>
    <row r="90">
      <c r="A90" s="7" t="inlineStr">
        <is>
          <t>7.6</t>
        </is>
      </c>
      <c r="B90" s="7" t="inlineStr">
        <is>
          <t>Quản lý tài khoản và quyền truy cập</t>
        </is>
      </c>
      <c r="C90" s="7" t="inlineStr">
        <is>
          <t>7.6.1 c)</t>
        </is>
      </c>
      <c r="D90" s="7" t="inlineStr">
        <is>
          <t>Ghi log và giám sát hoạt động của tài khoản người dùng</t>
        </is>
      </c>
      <c r="E90" s="11" t="inlineStr"/>
      <c r="F90" s="7" t="inlineStr">
        <is>
          <t>Cấu hình audit log đăng nhập</t>
        </is>
      </c>
      <c r="G90" s="7" t="inlineStr"/>
      <c r="H90" s="11" t="inlineStr"/>
      <c r="I90" s="11" t="inlineStr"/>
    </row>
    <row r="91">
      <c r="A91" s="7" t="inlineStr">
        <is>
          <t>7.6</t>
        </is>
      </c>
      <c r="B91" s="7" t="inlineStr">
        <is>
          <t>Quản lý tài khoản và quyền truy cập</t>
        </is>
      </c>
      <c r="C91" s="7" t="inlineStr">
        <is>
          <t>7.6.2.1 a)</t>
        </is>
      </c>
      <c r="D91" s="7" t="inlineStr">
        <is>
          <t>Danh sách mọi tài khoản trên phần cứng và phần mềm</t>
        </is>
      </c>
      <c r="E91" s="11" t="inlineStr"/>
      <c r="F91" s="7" t="inlineStr">
        <is>
          <t>Danh sách tài khoản</t>
        </is>
      </c>
      <c r="G91" s="7" t="inlineStr"/>
      <c r="H91" s="11" t="inlineStr"/>
      <c r="I91" s="11" t="inlineStr"/>
    </row>
    <row r="92">
      <c r="A92" s="7" t="inlineStr">
        <is>
          <t>7.6</t>
        </is>
      </c>
      <c r="B92" s="7" t="inlineStr">
        <is>
          <t>Quản lý tài khoản và quyền truy cập</t>
        </is>
      </c>
      <c r="C92" s="7" t="inlineStr">
        <is>
          <t>7.6.2.1 b)</t>
        </is>
      </c>
      <c r="D92" s="7" t="inlineStr">
        <is>
          <t>Danh sách gồm tối thiểu: tài khoản quản trị, tác nghiệp, kỹ thuật</t>
        </is>
      </c>
      <c r="E92" s="11" t="inlineStr"/>
      <c r="F92" s="7" t="inlineStr">
        <is>
          <t>Danh sách tài khoản phân loại</t>
        </is>
      </c>
      <c r="G92" s="7" t="inlineStr"/>
      <c r="H92" s="11" t="inlineStr"/>
      <c r="I92" s="11" t="inlineStr"/>
    </row>
    <row r="93">
      <c r="A93" s="7" t="inlineStr">
        <is>
          <t>7.6</t>
        </is>
      </c>
      <c r="B93" s="7" t="inlineStr">
        <is>
          <t>Quản lý tài khoản và quyền truy cập</t>
        </is>
      </c>
      <c r="C93" s="7" t="inlineStr">
        <is>
          <t>7.6.2.1 c)</t>
        </is>
      </c>
      <c r="D93" s="7" t="inlineStr">
        <is>
          <t>Trường tối thiểu: loại, tên, trạng thái, hệ thống, người quản lý, phòng ban, ngày kích hoạt/vô hiệu; không còn tài khoản không hợp lệ</t>
        </is>
      </c>
      <c r="E93" s="11" t="inlineStr"/>
      <c r="F93" s="7" t="inlineStr">
        <is>
          <t>Danh sách có đủ trường</t>
        </is>
      </c>
      <c r="G93" s="7" t="inlineStr"/>
      <c r="H93" s="11" t="inlineStr"/>
      <c r="I93" s="11" t="inlineStr"/>
    </row>
    <row r="94">
      <c r="A94" s="7" t="inlineStr">
        <is>
          <t>7.6</t>
        </is>
      </c>
      <c r="B94" s="7" t="inlineStr">
        <is>
          <t>Quản lý tài khoản và quyền truy cập</t>
        </is>
      </c>
      <c r="C94" s="7" t="inlineStr">
        <is>
          <t>7.6.2.1 d)</t>
        </is>
      </c>
      <c r="D94" s="7" t="inlineStr">
        <is>
          <t>Rà soát danh sách tài khoản ≥ 1 lần/tháng</t>
        </is>
      </c>
      <c r="E94" s="11" t="inlineStr"/>
      <c r="F94" s="7" t="inlineStr">
        <is>
          <t>Biên bản rà soát</t>
        </is>
      </c>
      <c r="G94" s="7" t="inlineStr">
        <is>
          <t>Mới/khác so với cấp 4</t>
        </is>
      </c>
      <c r="H94" s="11" t="inlineStr"/>
      <c r="I94" s="11" t="inlineStr"/>
    </row>
    <row r="95">
      <c r="A95" s="7" t="inlineStr">
        <is>
          <t>7.6</t>
        </is>
      </c>
      <c r="B95" s="7" t="inlineStr">
        <is>
          <t>Quản lý tài khoản và quyền truy cập</t>
        </is>
      </c>
      <c r="C95" s="7" t="inlineStr">
        <is>
          <t>7.6.2.2 a)</t>
        </is>
      </c>
      <c r="D95" s="7" t="inlineStr">
        <is>
          <t>Cấu hình bắt đổi mật khẩu mặc định; quy tắc độ dài, loại ký tự; thời hạn đổi và thời hạn hiệu lực mật khẩu</t>
        </is>
      </c>
      <c r="E95" s="11" t="inlineStr"/>
      <c r="F95" s="7" t="inlineStr">
        <is>
          <t>Chính sách mật khẩu (GPO/IdP)</t>
        </is>
      </c>
      <c r="G95" s="7" t="inlineStr"/>
      <c r="H95" s="11" t="inlineStr"/>
      <c r="I95" s="11" t="inlineStr"/>
    </row>
    <row r="96">
      <c r="A96" s="7" t="inlineStr">
        <is>
          <t>7.6</t>
        </is>
      </c>
      <c r="B96" s="7" t="inlineStr">
        <is>
          <t>Quản lý tài khoản và quyền truy cập</t>
        </is>
      </c>
      <c r="C96" s="7" t="inlineStr">
        <is>
          <t>7.6.2.2 b)</t>
        </is>
      </c>
      <c r="D96" s="7" t="inlineStr">
        <is>
          <t>Gợi ý: mật khẩu riêng cho từng tài sản hoặc xác thực tập trung; bắt đổi ở lần đăng nhập đầu</t>
        </is>
      </c>
      <c r="E96" s="11" t="inlineStr"/>
      <c r="F96" s="7" t="inlineStr">
        <is>
          <t>Cấu hình IdP/SSO</t>
        </is>
      </c>
      <c r="G96" s="7" t="inlineStr"/>
      <c r="H96" s="11" t="inlineStr"/>
      <c r="I96" s="11" t="inlineStr"/>
    </row>
    <row r="97">
      <c r="A97" s="7" t="inlineStr">
        <is>
          <t>7.6</t>
        </is>
      </c>
      <c r="B97" s="7" t="inlineStr">
        <is>
          <t>Quản lý tài khoản và quyền truy cập</t>
        </is>
      </c>
      <c r="C97" s="7" t="inlineStr">
        <is>
          <t>7.6.2.2 b)</t>
        </is>
      </c>
      <c r="D97" s="7" t="inlineStr">
        <is>
          <t>Gợi ý độ dài: ≥ 8 ký tự nếu có MFA; ≥ 14 ký tự gồm đủ 4 loại ký tự nếu không có MFA</t>
        </is>
      </c>
      <c r="E97" s="11" t="inlineStr"/>
      <c r="F97" s="7" t="inlineStr">
        <is>
          <t>Chính sách mật khẩu</t>
        </is>
      </c>
      <c r="G97" s="7" t="inlineStr"/>
      <c r="H97" s="11" t="inlineStr"/>
      <c r="I97" s="11" t="inlineStr"/>
    </row>
    <row r="98">
      <c r="A98" s="7" t="inlineStr">
        <is>
          <t>7.6</t>
        </is>
      </c>
      <c r="B98" s="7" t="inlineStr">
        <is>
          <t>Quản lý tài khoản và quyền truy cập</t>
        </is>
      </c>
      <c r="C98" s="7" t="inlineStr">
        <is>
          <t>7.6.2.2 b)</t>
        </is>
      </c>
      <c r="D98" s="7" t="inlineStr">
        <is>
          <t>Tài khoản quản trị: bật MFA, đổi mật khẩu 2 tháng/lần, không dùng lại 10 mật khẩu gần nhất</t>
        </is>
      </c>
      <c r="E98" s="11" t="inlineStr"/>
      <c r="F98" s="7" t="inlineStr">
        <is>
          <t>Cấu hình MFA/lịch sử mật khẩu</t>
        </is>
      </c>
      <c r="G98" s="7" t="inlineStr"/>
      <c r="H98" s="11" t="inlineStr"/>
      <c r="I98" s="11" t="inlineStr"/>
    </row>
    <row r="99">
      <c r="A99" s="7" t="inlineStr">
        <is>
          <t>7.6</t>
        </is>
      </c>
      <c r="B99" s="7" t="inlineStr">
        <is>
          <t>Quản lý tài khoản và quyền truy cập</t>
        </is>
      </c>
      <c r="C99" s="7" t="inlineStr">
        <is>
          <t>7.6.2.3</t>
        </is>
      </c>
      <c r="D99" s="7" t="inlineStr">
        <is>
          <t>Dùng giải pháp PAM (hoặc tương đương) quản lý tài khoản đặc quyền</t>
        </is>
      </c>
      <c r="E99" s="11" t="inlineStr"/>
      <c r="F99" s="7" t="inlineStr">
        <is>
          <t>Hồ sơ PAM</t>
        </is>
      </c>
      <c r="G99" s="7" t="inlineStr"/>
      <c r="H99" s="11" t="inlineStr"/>
      <c r="I99" s="11" t="inlineStr"/>
    </row>
    <row r="100">
      <c r="A100" s="7" t="inlineStr">
        <is>
          <t>7.6</t>
        </is>
      </c>
      <c r="B100" s="7" t="inlineStr">
        <is>
          <t>Quản lý tài khoản và quyền truy cập</t>
        </is>
      </c>
      <c r="C100" s="7" t="inlineStr">
        <is>
          <t>7.6.2.3</t>
        </is>
      </c>
      <c r="D100" s="7" t="inlineStr">
        <is>
          <t>Quản lý tài khoản tập trung</t>
        </is>
      </c>
      <c r="E100" s="11" t="inlineStr"/>
      <c r="F100" s="7" t="inlineStr">
        <is>
          <t>Hồ sơ IdP/AD/LDAP</t>
        </is>
      </c>
      <c r="G100" s="7" t="inlineStr"/>
      <c r="H100" s="11" t="inlineStr"/>
      <c r="I100" s="11" t="inlineStr"/>
    </row>
    <row r="101">
      <c r="A101" s="7" t="inlineStr">
        <is>
          <t>7.6</t>
        </is>
      </c>
      <c r="B101" s="7" t="inlineStr">
        <is>
          <t>Quản lý tài khoản và quyền truy cập</t>
        </is>
      </c>
      <c r="C101" s="7" t="inlineStr">
        <is>
          <t>7.6.2.3</t>
        </is>
      </c>
      <c r="D101" s="7" t="inlineStr">
        <is>
          <t>Đổi hoặc vô hiệu hóa tài khoản mặc định (root, administrator, tài khoản cài sẵn của hãng)</t>
        </is>
      </c>
      <c r="E101" s="11" t="inlineStr"/>
      <c r="F101" s="7" t="inlineStr">
        <is>
          <t>Danh sách tài khoản mặc định đã xử lý</t>
        </is>
      </c>
      <c r="G101" s="7" t="inlineStr"/>
      <c r="H101" s="11" t="inlineStr"/>
      <c r="I101" s="11" t="inlineStr"/>
    </row>
    <row r="102">
      <c r="A102" s="7" t="inlineStr">
        <is>
          <t>7.6</t>
        </is>
      </c>
      <c r="B102" s="7" t="inlineStr">
        <is>
          <t>Quản lý tài khoản và quyền truy cập</t>
        </is>
      </c>
      <c r="C102" s="7" t="inlineStr">
        <is>
          <t>7.6.2.3</t>
        </is>
      </c>
      <c r="D102" s="7" t="inlineStr">
        <is>
          <t>Tách biệt quản lý 4 loại tài khoản</t>
        </is>
      </c>
      <c r="E102" s="11" t="inlineStr"/>
      <c r="F102" s="7" t="inlineStr">
        <is>
          <t>Quy định + danh sách phân loại</t>
        </is>
      </c>
      <c r="G102" s="7" t="inlineStr"/>
      <c r="H102" s="11" t="inlineStr"/>
      <c r="I102" s="11" t="inlineStr"/>
    </row>
    <row r="103">
      <c r="A103" s="7" t="inlineStr">
        <is>
          <t>7.6</t>
        </is>
      </c>
      <c r="B103" s="7" t="inlineStr">
        <is>
          <t>Quản lý tài khoản và quyền truy cập</t>
        </is>
      </c>
      <c r="C103" s="7" t="inlineStr">
        <is>
          <t>7.6.2.3</t>
        </is>
      </c>
      <c r="D103" s="7" t="inlineStr">
        <is>
          <t>Mỗi tài khoản gắn một người; dùng chung phải được phê duyệt và truy vết được người dùng từng thời điểm</t>
        </is>
      </c>
      <c r="E103" s="11" t="inlineStr"/>
      <c r="F103" s="7" t="inlineStr">
        <is>
          <t>Phê duyệt tài khoản dùng chung, sổ theo dõi</t>
        </is>
      </c>
      <c r="G103" s="7" t="inlineStr"/>
      <c r="H103" s="11" t="inlineStr"/>
      <c r="I103" s="11" t="inlineStr"/>
    </row>
    <row r="104">
      <c r="A104" s="7" t="inlineStr">
        <is>
          <t>7.6</t>
        </is>
      </c>
      <c r="B104" s="7" t="inlineStr">
        <is>
          <t>Quản lý tài khoản và quyền truy cập</t>
        </is>
      </c>
      <c r="C104" s="7" t="inlineStr">
        <is>
          <t>7.6.2.3</t>
        </is>
      </c>
      <c r="D104" s="7" t="inlineStr">
        <is>
          <t>Quy định quản lý thiết bị lưu khóa bí mật (token) và khóa bí mật</t>
        </is>
      </c>
      <c r="E104" s="11" t="inlineStr"/>
      <c r="F104" s="7" t="inlineStr">
        <is>
          <t>Quy định quản lý token</t>
        </is>
      </c>
      <c r="G104" s="7" t="inlineStr"/>
      <c r="H104" s="11" t="inlineStr"/>
      <c r="I104" s="11" t="inlineStr"/>
    </row>
    <row r="105">
      <c r="A105" s="7" t="inlineStr">
        <is>
          <t>7.6</t>
        </is>
      </c>
      <c r="B105" s="7" t="inlineStr">
        <is>
          <t>Quản lý tài khoản và quyền truy cập</t>
        </is>
      </c>
      <c r="C105" s="7" t="inlineStr">
        <is>
          <t>7.6.2.3</t>
        </is>
      </c>
      <c r="D105" s="7" t="inlineStr">
        <is>
          <t>Xóa/vô hiệu hóa tài khoản không hoạt động quá 45 ngày hoặc ngay khi đổi nhân sự</t>
        </is>
      </c>
      <c r="E105" s="11" t="inlineStr"/>
      <c r="F105" s="7" t="inlineStr">
        <is>
          <t>Báo cáo tài khoản inactive</t>
        </is>
      </c>
      <c r="G105" s="7" t="inlineStr"/>
      <c r="H105" s="11" t="inlineStr"/>
      <c r="I105" s="11" t="inlineStr"/>
    </row>
    <row r="106">
      <c r="A106" s="7" t="inlineStr">
        <is>
          <t>7.6</t>
        </is>
      </c>
      <c r="B106" s="7" t="inlineStr">
        <is>
          <t>Quản lý tài khoản và quyền truy cập</t>
        </is>
      </c>
      <c r="C106" s="7" t="inlineStr">
        <is>
          <t>7.6.2.3</t>
        </is>
      </c>
      <c r="D106" s="7" t="inlineStr">
        <is>
          <t>Rà soát quy định quản lý tài khoản ≥ 1 lần/năm hoặc khi thay đổi</t>
        </is>
      </c>
      <c r="E106" s="11" t="inlineStr"/>
      <c r="F106" s="7" t="inlineStr">
        <is>
          <t>Lịch sử phiên bản</t>
        </is>
      </c>
      <c r="G106" s="7" t="inlineStr"/>
      <c r="H106" s="11" t="inlineStr"/>
      <c r="I106" s="11" t="inlineStr"/>
    </row>
    <row r="107">
      <c r="A107" s="7" t="inlineStr">
        <is>
          <t>7.6</t>
        </is>
      </c>
      <c r="B107" s="7" t="inlineStr">
        <is>
          <t>Quản lý tài khoản và quyền truy cập</t>
        </is>
      </c>
      <c r="C107" s="7" t="inlineStr">
        <is>
          <t>7.6.2.4</t>
        </is>
      </c>
      <c r="D107" s="7" t="inlineStr">
        <is>
          <t>Áp dụng đặc quyền tối thiểu và phân tách nhiệm vụ cho mọi loại tài khoản</t>
        </is>
      </c>
      <c r="E107" s="11" t="inlineStr"/>
      <c r="F107" s="7" t="inlineStr">
        <is>
          <t>Ma trận vai trò – quyền</t>
        </is>
      </c>
      <c r="G107" s="7" t="inlineStr"/>
      <c r="H107" s="11" t="inlineStr"/>
      <c r="I107" s="11" t="inlineStr"/>
    </row>
    <row r="108">
      <c r="A108" s="7" t="inlineStr">
        <is>
          <t>7.6</t>
        </is>
      </c>
      <c r="B108" s="7" t="inlineStr">
        <is>
          <t>Quản lý tài khoản và quyền truy cập</t>
        </is>
      </c>
      <c r="C108" s="7" t="inlineStr">
        <is>
          <t>7.6.2.4</t>
        </is>
      </c>
      <c r="D108" s="7" t="inlineStr">
        <is>
          <t>Tài liệu hóa quyền cần thiết theo chức danh, bộ phận</t>
        </is>
      </c>
      <c r="E108" s="11" t="inlineStr"/>
      <c r="F108" s="7" t="inlineStr">
        <is>
          <t>Ma trận quyền theo chức danh</t>
        </is>
      </c>
      <c r="G108" s="7" t="inlineStr"/>
      <c r="H108" s="11" t="inlineStr"/>
      <c r="I108" s="11" t="inlineStr"/>
    </row>
    <row r="109">
      <c r="A109" s="7" t="inlineStr">
        <is>
          <t>7.6</t>
        </is>
      </c>
      <c r="B109" s="7" t="inlineStr">
        <is>
          <t>Quản lý tài khoản và quyền truy cập</t>
        </is>
      </c>
      <c r="C109" s="7" t="inlineStr">
        <is>
          <t>7.6.2.4</t>
        </is>
      </c>
      <c r="D109" s="7" t="inlineStr">
        <is>
          <t>MFA cho truy cập từ ngoài tổ chức, từ đối tác/bên thứ ba, từ Internet và cho tài khoản quản trị</t>
        </is>
      </c>
      <c r="E109" s="11" t="inlineStr"/>
      <c r="F109" s="7" t="inlineStr">
        <is>
          <t>Cấu hình MFA</t>
        </is>
      </c>
      <c r="G109" s="7" t="inlineStr"/>
      <c r="H109" s="11" t="inlineStr"/>
      <c r="I109" s="11" t="inlineStr"/>
    </row>
    <row r="110">
      <c r="A110" s="7" t="inlineStr">
        <is>
          <t>7.6</t>
        </is>
      </c>
      <c r="B110" s="7" t="inlineStr">
        <is>
          <t>Quản lý tài khoản và quyền truy cập</t>
        </is>
      </c>
      <c r="C110" s="7" t="inlineStr">
        <is>
          <t>7.6.2.4</t>
        </is>
      </c>
      <c r="D110" s="7" t="inlineStr">
        <is>
          <t>Rà soát quy định quản lý truy cập ≥ 1 lần/năm hoặc khi thay đổi</t>
        </is>
      </c>
      <c r="E110" s="11" t="inlineStr"/>
      <c r="F110" s="7" t="inlineStr">
        <is>
          <t>Lịch sử phiên bản</t>
        </is>
      </c>
      <c r="G110" s="7" t="inlineStr"/>
      <c r="H110" s="11" t="inlineStr"/>
      <c r="I110" s="11" t="inlineStr"/>
    </row>
    <row r="111">
      <c r="A111" s="7" t="inlineStr">
        <is>
          <t>7.6</t>
        </is>
      </c>
      <c r="B111" s="7" t="inlineStr">
        <is>
          <t>Quản lý tài khoản và quyền truy cập</t>
        </is>
      </c>
      <c r="C111" s="7" t="inlineStr">
        <is>
          <t>7.6.2.5 a)</t>
        </is>
      </c>
      <c r="D111" s="7" t="inlineStr">
        <is>
          <t>Quy trình cấp mới, thay đổi, thu hồi quyền truy cập tài sản CNTT</t>
        </is>
      </c>
      <c r="E111" s="11" t="inlineStr"/>
      <c r="F111" s="7" t="inlineStr">
        <is>
          <t>Quy trình + phiếu yêu cầu</t>
        </is>
      </c>
      <c r="G111" s="7" t="inlineStr"/>
      <c r="H111" s="11" t="inlineStr"/>
      <c r="I111" s="11" t="inlineStr"/>
    </row>
    <row r="112">
      <c r="A112" s="7" t="inlineStr">
        <is>
          <t>7.6</t>
        </is>
      </c>
      <c r="B112" s="7" t="inlineStr">
        <is>
          <t>Quản lý tài khoản và quyền truy cập</t>
        </is>
      </c>
      <c r="C112" s="7" t="inlineStr">
        <is>
          <t>7.6.2.5 b)</t>
        </is>
      </c>
      <c r="D112" s="7" t="inlineStr">
        <is>
          <t>Rà soát quy trình và việc cấp quyền ≥ 1 lần/6 tháng</t>
        </is>
      </c>
      <c r="E112" s="11" t="inlineStr"/>
      <c r="F112" s="7" t="inlineStr">
        <is>
          <t>Biên bản rà soát</t>
        </is>
      </c>
      <c r="G112" s="7" t="inlineStr">
        <is>
          <t>Mới/khác so với cấp 4</t>
        </is>
      </c>
      <c r="H112" s="11" t="inlineStr"/>
      <c r="I112" s="11" t="inlineStr"/>
    </row>
    <row r="113">
      <c r="A113" s="7" t="inlineStr">
        <is>
          <t>7.7</t>
        </is>
      </c>
      <c r="B113" s="7" t="inlineStr">
        <is>
          <t>Quản lý lỗ hổng bảo mật</t>
        </is>
      </c>
      <c r="C113" s="7" t="inlineStr">
        <is>
          <t>7.7.1 b)</t>
        </is>
      </c>
      <c r="D113" s="7" t="inlineStr">
        <is>
          <t>Theo dõi thông tin mối đe dọa, lỗ hổng mới từ nhiều nguồn</t>
        </is>
      </c>
      <c r="E113" s="11" t="inlineStr"/>
      <c r="F113" s="7" t="inlineStr">
        <is>
          <t>Nguồn tin đăng ký (NCSC, CVE, hãng…)</t>
        </is>
      </c>
      <c r="G113" s="7" t="inlineStr"/>
      <c r="H113" s="11" t="inlineStr"/>
      <c r="I113" s="11" t="inlineStr"/>
    </row>
    <row r="114">
      <c r="A114" s="7" t="inlineStr">
        <is>
          <t>7.7</t>
        </is>
      </c>
      <c r="B114" s="7" t="inlineStr">
        <is>
          <t>Quản lý lỗ hổng bảo mật</t>
        </is>
      </c>
      <c r="C114" s="7" t="inlineStr">
        <is>
          <t>7.7.2.1 a)</t>
        </is>
      </c>
      <c r="D114" s="7" t="inlineStr">
        <is>
          <t>Quy trình quản lý lỗ hổng: rà quét phát hiện, chấm mức nghiêm trọng, chia sẻ/tiếp nhận báo cáo, khắc phục theo ưu tiên và kiểm tra lại</t>
        </is>
      </c>
      <c r="E114" s="11" t="inlineStr"/>
      <c r="F114" s="7" t="inlineStr">
        <is>
          <t>Quy trình quản lý lỗ hổng</t>
        </is>
      </c>
      <c r="G114" s="7" t="inlineStr"/>
      <c r="H114" s="11" t="inlineStr"/>
      <c r="I114" s="11" t="inlineStr"/>
    </row>
    <row r="115">
      <c r="A115" s="7" t="inlineStr">
        <is>
          <t>7.7</t>
        </is>
      </c>
      <c r="B115" s="7" t="inlineStr">
        <is>
          <t>Quản lý lỗ hổng bảo mật</t>
        </is>
      </c>
      <c r="C115" s="7" t="inlineStr">
        <is>
          <t>7.7.2.1 a)</t>
        </is>
      </c>
      <c r="D115" s="7" t="inlineStr">
        <is>
          <t>Rà quét tổng thể ≥ 1 lần/quý; tài sản quan trọng ≥ 1 lần/tháng</t>
        </is>
      </c>
      <c r="E115" s="11" t="inlineStr"/>
      <c r="F115" s="7" t="inlineStr">
        <is>
          <t>Báo cáo rà quét theo kỳ</t>
        </is>
      </c>
      <c r="G115" s="7" t="inlineStr">
        <is>
          <t>Mới/khác so với cấp 4</t>
        </is>
      </c>
      <c r="H115" s="11" t="inlineStr"/>
      <c r="I115" s="11" t="inlineStr"/>
    </row>
    <row r="116">
      <c r="A116" s="7" t="inlineStr">
        <is>
          <t>7.7</t>
        </is>
      </c>
      <c r="B116" s="7" t="inlineStr">
        <is>
          <t>Quản lý lỗ hổng bảo mật</t>
        </is>
      </c>
      <c r="C116" s="7" t="inlineStr">
        <is>
          <t>7.7.2.1 b)</t>
        </is>
      </c>
      <c r="D116" s="7" t="inlineStr">
        <is>
          <t>Rà soát quy trình và thực hiện rà quét lỗ hổng ≥ 1 lần/quý hoặc khi thay đổi</t>
        </is>
      </c>
      <c r="E116" s="11" t="inlineStr"/>
      <c r="F116" s="7" t="inlineStr">
        <is>
          <t>Báo cáo rà quét, biên bản rà soát</t>
        </is>
      </c>
      <c r="G116" s="7" t="inlineStr">
        <is>
          <t>Mới/khác so với cấp 4</t>
        </is>
      </c>
      <c r="H116" s="11" t="inlineStr"/>
      <c r="I116" s="11" t="inlineStr"/>
    </row>
    <row r="117">
      <c r="A117" s="7" t="inlineStr">
        <is>
          <t>7.7</t>
        </is>
      </c>
      <c r="B117" s="7" t="inlineStr">
        <is>
          <t>Quản lý lỗ hổng bảo mật</t>
        </is>
      </c>
      <c r="C117" s="7" t="inlineStr">
        <is>
          <t>7.7.2.2</t>
        </is>
      </c>
      <c r="D117" s="7" t="inlineStr">
        <is>
          <t>Có máy chủ quản lý bản vá tập trung cho toàn bộ tài sản</t>
        </is>
      </c>
      <c r="E117" s="11" t="inlineStr"/>
      <c r="F117" s="7" t="inlineStr">
        <is>
          <t>Hồ sơ WSUS/SCCM/tương đương</t>
        </is>
      </c>
      <c r="G117" s="7" t="inlineStr"/>
      <c r="H117" s="11" t="inlineStr"/>
      <c r="I117" s="11" t="inlineStr"/>
    </row>
    <row r="118">
      <c r="A118" s="7" t="inlineStr">
        <is>
          <t>7.7</t>
        </is>
      </c>
      <c r="B118" s="7" t="inlineStr">
        <is>
          <t>Quản lý lỗ hổng bảo mật</t>
        </is>
      </c>
      <c r="C118" s="7" t="inlineStr">
        <is>
          <t>7.7.2.2</t>
        </is>
      </c>
      <c r="D118" s="7" t="inlineStr">
        <is>
          <t>Trước khi vá hệ thống có dữ liệu quan trọng: đánh giá tác động, thử nghiệm, có phương án khôi phục</t>
        </is>
      </c>
      <c r="E118" s="11" t="inlineStr"/>
      <c r="F118" s="7" t="inlineStr">
        <is>
          <t>Biên bản thử nghiệm bản vá</t>
        </is>
      </c>
      <c r="G118" s="7" t="inlineStr"/>
      <c r="H118" s="11" t="inlineStr"/>
      <c r="I118" s="11" t="inlineStr"/>
    </row>
    <row r="119">
      <c r="A119" s="7" t="inlineStr">
        <is>
          <t>7.7</t>
        </is>
      </c>
      <c r="B119" s="7" t="inlineStr">
        <is>
          <t>Quản lý lỗ hổng bảo mật</t>
        </is>
      </c>
      <c r="C119" s="7" t="inlineStr">
        <is>
          <t>7.7.2.2</t>
        </is>
      </c>
      <c r="D119" s="7" t="inlineStr">
        <is>
          <t>Kiểm tra, cập nhật bản vá HĐH và ứng dụng cho máy tính, di động cấp cho người dùng ≥ 1 lần/tháng</t>
        </is>
      </c>
      <c r="E119" s="11" t="inlineStr"/>
      <c r="F119" s="7" t="inlineStr">
        <is>
          <t>Báo cáo tuân thủ bản vá hằng tháng</t>
        </is>
      </c>
      <c r="G119" s="7" t="inlineStr"/>
      <c r="H119" s="11" t="inlineStr"/>
      <c r="I119" s="11" t="inlineStr"/>
    </row>
    <row r="120">
      <c r="A120" s="7" t="inlineStr">
        <is>
          <t>7.7</t>
        </is>
      </c>
      <c r="B120" s="7" t="inlineStr">
        <is>
          <t>Quản lý lỗ hổng bảo mật</t>
        </is>
      </c>
      <c r="C120" s="7" t="inlineStr">
        <is>
          <t>7.7.2.2</t>
        </is>
      </c>
      <c r="D120" s="7" t="inlineStr">
        <is>
          <t>Giám sát để phát hiện lỗ hổng mới và vá kịp thời</t>
        </is>
      </c>
      <c r="E120" s="11" t="inlineStr"/>
      <c r="F120" s="7" t="inlineStr">
        <is>
          <t>Nhật ký vá</t>
        </is>
      </c>
      <c r="G120" s="7" t="inlineStr"/>
      <c r="H120" s="11" t="inlineStr"/>
      <c r="I120" s="11" t="inlineStr"/>
    </row>
    <row r="121">
      <c r="A121" s="7" t="inlineStr">
        <is>
          <t>7.8</t>
        </is>
      </c>
      <c r="B121" s="7" t="inlineStr">
        <is>
          <t>Quản lý nhật ký an ninh mạng</t>
        </is>
      </c>
      <c r="C121" s="7" t="inlineStr">
        <is>
          <t>7.8.2.1 a)</t>
        </is>
      </c>
      <c r="D121" s="7" t="inlineStr">
        <is>
          <t>Quy định quản lý log: cách ghi, thu thập, kiểm tra, lưu trữ</t>
        </is>
      </c>
      <c r="E121" s="11" t="inlineStr"/>
      <c r="F121" s="7" t="inlineStr">
        <is>
          <t>Quy định quản lý nhật ký</t>
        </is>
      </c>
      <c r="G121" s="7" t="inlineStr"/>
      <c r="H121" s="11" t="inlineStr"/>
      <c r="I121" s="11" t="inlineStr"/>
    </row>
    <row r="122">
      <c r="A122" s="7" t="inlineStr">
        <is>
          <t>7.8</t>
        </is>
      </c>
      <c r="B122" s="7" t="inlineStr">
        <is>
          <t>Quản lý nhật ký an ninh mạng</t>
        </is>
      </c>
      <c r="C122" s="7" t="inlineStr">
        <is>
          <t>7.8.2.1 a)</t>
        </is>
      </c>
      <c r="D122" s="7" t="inlineStr">
        <is>
          <t>Thu thập tối thiểu: log truy cập hệ thống, tiến trình, ứng dụng, truy cập dữ liệu, cảnh báo</t>
        </is>
      </c>
      <c r="E122" s="11" t="inlineStr"/>
      <c r="F122" s="7" t="inlineStr">
        <is>
          <t>Danh sách nguồn log</t>
        </is>
      </c>
      <c r="G122" s="7" t="inlineStr"/>
      <c r="H122" s="11" t="inlineStr"/>
      <c r="I122" s="11" t="inlineStr"/>
    </row>
    <row r="123">
      <c r="A123" s="7" t="inlineStr">
        <is>
          <t>7.8</t>
        </is>
      </c>
      <c r="B123" s="7" t="inlineStr">
        <is>
          <t>Quản lý nhật ký an ninh mạng</t>
        </is>
      </c>
      <c r="C123" s="7" t="inlineStr">
        <is>
          <t>7.8.2.1 a)</t>
        </is>
      </c>
      <c r="D123" s="7" t="inlineStr">
        <is>
          <t>Log truy cập có nguồn/đích (kèm MAC), tài khoản, thời điểm, hành vi; log cảnh báo đủ trường tối thiểu</t>
        </is>
      </c>
      <c r="E123" s="11" t="inlineStr"/>
      <c r="F123" s="7" t="inlineStr">
        <is>
          <t>Mẫu bản ghi log</t>
        </is>
      </c>
      <c r="G123" s="7" t="inlineStr"/>
      <c r="H123" s="11" t="inlineStr"/>
      <c r="I123" s="11" t="inlineStr"/>
    </row>
    <row r="124">
      <c r="A124" s="7" t="inlineStr">
        <is>
          <t>7.8</t>
        </is>
      </c>
      <c r="B124" s="7" t="inlineStr">
        <is>
          <t>Quản lý nhật ký an ninh mạng</t>
        </is>
      </c>
      <c r="C124" s="7" t="inlineStr">
        <is>
          <t>7.8.2.1 a)</t>
        </is>
      </c>
      <c r="D124" s="7" t="inlineStr">
        <is>
          <t>Log tiến trình có: thiết bị, tên/mã/tiến trình cha/lệnh khởi tạo, tài khoản, thời điểm</t>
        </is>
      </c>
      <c r="E124" s="11" t="inlineStr"/>
      <c r="F124" s="7" t="inlineStr">
        <is>
          <t>Mẫu log tiến trình (vd Sysmon/auditd)</t>
        </is>
      </c>
      <c r="G124" s="7" t="inlineStr"/>
      <c r="H124" s="11" t="inlineStr"/>
      <c r="I124" s="11" t="inlineStr"/>
    </row>
    <row r="125">
      <c r="A125" s="7" t="inlineStr">
        <is>
          <t>7.8</t>
        </is>
      </c>
      <c r="B125" s="7" t="inlineStr">
        <is>
          <t>Quản lý nhật ký an ninh mạng</t>
        </is>
      </c>
      <c r="C125" s="7" t="inlineStr">
        <is>
          <t>7.8.2.1 a)</t>
        </is>
      </c>
      <c r="D125" s="7" t="inlineStr">
        <is>
          <t>Log truy cập dữ liệu ghi hành động đọc/thêm/sửa/xóa/sao chép; log ứng dụng có truy cập, đăng nhập quản trị, lỗi, đổi cấu hình</t>
        </is>
      </c>
      <c r="E125" s="11" t="inlineStr"/>
      <c r="F125" s="7" t="inlineStr">
        <is>
          <t>Mẫu log ứng dụng, log dữ liệu</t>
        </is>
      </c>
      <c r="G125" s="7" t="inlineStr"/>
      <c r="H125" s="11" t="inlineStr"/>
      <c r="I125" s="11" t="inlineStr"/>
    </row>
    <row r="126">
      <c r="A126" s="7" t="inlineStr">
        <is>
          <t>7.8</t>
        </is>
      </c>
      <c r="B126" s="7" t="inlineStr">
        <is>
          <t>Quản lý nhật ký an ninh mạng</t>
        </is>
      </c>
      <c r="C126" s="7" t="inlineStr">
        <is>
          <t>7.8.2.1 a)</t>
        </is>
      </c>
      <c r="D126" s="7" t="inlineStr">
        <is>
          <t>Thu thập log trên toàn bộ tài sản CNTT</t>
        </is>
      </c>
      <c r="E126" s="11" t="inlineStr"/>
      <c r="F126" s="7" t="inlineStr">
        <is>
          <t>Bảng độ phủ nguồn log</t>
        </is>
      </c>
      <c r="G126" s="7" t="inlineStr"/>
      <c r="H126" s="11" t="inlineStr"/>
      <c r="I126" s="11" t="inlineStr"/>
    </row>
    <row r="127">
      <c r="A127" s="7" t="inlineStr">
        <is>
          <t>7.8</t>
        </is>
      </c>
      <c r="B127" s="7" t="inlineStr">
        <is>
          <t>Quản lý nhật ký an ninh mạng</t>
        </is>
      </c>
      <c r="C127" s="7" t="inlineStr">
        <is>
          <t>7.8.2.1 a)</t>
        </is>
      </c>
      <c r="D127" s="7" t="inlineStr">
        <is>
          <t>Đồng bộ thời gian qua máy chủ thời gian (NTP) cho mọi thành phần tham gia giám sát</t>
        </is>
      </c>
      <c r="E127" s="11" t="inlineStr"/>
      <c r="F127" s="7" t="inlineStr">
        <is>
          <t>Cấu hình NTP</t>
        </is>
      </c>
      <c r="G127" s="7" t="inlineStr"/>
      <c r="H127" s="11" t="inlineStr"/>
      <c r="I127" s="11" t="inlineStr"/>
    </row>
    <row r="128">
      <c r="A128" s="7" t="inlineStr">
        <is>
          <t>7.8</t>
        </is>
      </c>
      <c r="B128" s="7" t="inlineStr">
        <is>
          <t>Quản lý nhật ký an ninh mạng</t>
        </is>
      </c>
      <c r="C128" s="7" t="inlineStr">
        <is>
          <t>7.8.2.1 a)</t>
        </is>
      </c>
      <c r="D128" s="7" t="inlineStr">
        <is>
          <t>SIEM (hoặc tương đương) để quản lý, phân tích sự kiện tập trung</t>
        </is>
      </c>
      <c r="E128" s="11" t="inlineStr"/>
      <c r="F128" s="7" t="inlineStr">
        <is>
          <t>Hồ sơ SIEM</t>
        </is>
      </c>
      <c r="G128" s="7" t="inlineStr"/>
      <c r="H128" s="11" t="inlineStr"/>
      <c r="I128" s="11" t="inlineStr"/>
    </row>
    <row r="129">
      <c r="A129" s="7" t="inlineStr">
        <is>
          <t>7.8</t>
        </is>
      </c>
      <c r="B129" s="7" t="inlineStr">
        <is>
          <t>Quản lý nhật ký an ninh mạng</t>
        </is>
      </c>
      <c r="C129" s="7" t="inlineStr">
        <is>
          <t>7.8.2.1 a)</t>
        </is>
      </c>
      <c r="D129" s="7" t="inlineStr">
        <is>
          <t>Mọi đối tượng giám sát phải đẩy log về nền tảng giám sát tập trung</t>
        </is>
      </c>
      <c r="E129" s="11" t="inlineStr"/>
      <c r="F129" s="7" t="inlineStr">
        <is>
          <t>Danh sách nguồn đã kết nối</t>
        </is>
      </c>
      <c r="G129" s="7" t="inlineStr"/>
      <c r="H129" s="11" t="inlineStr"/>
      <c r="I129" s="11" t="inlineStr"/>
    </row>
    <row r="130">
      <c r="A130" s="7" t="inlineStr">
        <is>
          <t>7.8</t>
        </is>
      </c>
      <c r="B130" s="7" t="inlineStr">
        <is>
          <t>Quản lý nhật ký an ninh mạng</t>
        </is>
      </c>
      <c r="C130" s="7" t="inlineStr">
        <is>
          <t>7.8.2.1 a)</t>
        </is>
      </c>
      <c r="D130" s="7" t="inlineStr">
        <is>
          <t>Bảo đảm dung lượng lưu log tối thiểu 12 tháng; có cảnh báo sắp đầy dung lượng</t>
        </is>
      </c>
      <c r="E130" s="11" t="inlineStr"/>
      <c r="F130" s="7" t="inlineStr">
        <is>
          <t>Cấu hình retention, ảnh chụp dung lượng</t>
        </is>
      </c>
      <c r="G130" s="7" t="inlineStr">
        <is>
          <t>Mới/khác so với cấp 4</t>
        </is>
      </c>
      <c r="H130" s="11" t="inlineStr"/>
      <c r="I130" s="11" t="inlineStr"/>
    </row>
    <row r="131">
      <c r="A131" s="7" t="inlineStr">
        <is>
          <t>7.8</t>
        </is>
      </c>
      <c r="B131" s="7" t="inlineStr">
        <is>
          <t>Quản lý nhật ký an ninh mạng</t>
        </is>
      </c>
      <c r="C131" s="7" t="inlineStr">
        <is>
          <t>7.8.2.1 a)</t>
        </is>
      </c>
      <c r="D131" s="7" t="inlineStr">
        <is>
          <t>Rà soát log ANM ≥ 1 lần/tháng</t>
        </is>
      </c>
      <c r="E131" s="11" t="inlineStr"/>
      <c r="F131" s="7" t="inlineStr">
        <is>
          <t>Biên bản rà soát log</t>
        </is>
      </c>
      <c r="G131" s="7" t="inlineStr"/>
      <c r="H131" s="11" t="inlineStr"/>
      <c r="I131" s="11" t="inlineStr"/>
    </row>
    <row r="132">
      <c r="A132" s="7" t="inlineStr">
        <is>
          <t>7.8</t>
        </is>
      </c>
      <c r="B132" s="7" t="inlineStr">
        <is>
          <t>Quản lý nhật ký an ninh mạng</t>
        </is>
      </c>
      <c r="C132" s="7" t="inlineStr">
        <is>
          <t>7.8.2.1 b)</t>
        </is>
      </c>
      <c r="D132" s="7" t="inlineStr">
        <is>
          <t>Kiểm tra, cập nhật quy trình quản lý log ≥ 1 lần/năm hoặc khi thay đổi</t>
        </is>
      </c>
      <c r="E132" s="11" t="inlineStr"/>
      <c r="F132" s="7" t="inlineStr">
        <is>
          <t>Lịch sử phiên bản</t>
        </is>
      </c>
      <c r="G132" s="7" t="inlineStr"/>
      <c r="H132" s="11" t="inlineStr"/>
      <c r="I132" s="11" t="inlineStr"/>
    </row>
    <row r="133">
      <c r="A133" s="7" t="inlineStr">
        <is>
          <t>7.8</t>
        </is>
      </c>
      <c r="B133" s="7" t="inlineStr">
        <is>
          <t>Quản lý nhật ký an ninh mạng</t>
        </is>
      </c>
      <c r="C133" s="7" t="inlineStr">
        <is>
          <t>7.8.2.2</t>
        </is>
      </c>
      <c r="D133" s="7" t="inlineStr">
        <is>
          <t>Thu thập log ANM từ nhà cung cấp dịch vụ (cloud, SaaS…) mà hệ thống/tổ chức sử dụng</t>
        </is>
      </c>
      <c r="E133" s="11" t="inlineStr"/>
      <c r="F133" s="7" t="inlineStr">
        <is>
          <t>Hợp đồng/cấu hình chia sẻ log</t>
        </is>
      </c>
      <c r="G133" s="7" t="inlineStr"/>
      <c r="H133" s="11" t="inlineStr"/>
      <c r="I133" s="11" t="inlineStr"/>
    </row>
    <row r="134">
      <c r="A134" s="7" t="inlineStr">
        <is>
          <t>7.8</t>
        </is>
      </c>
      <c r="B134" s="7" t="inlineStr">
        <is>
          <t>Quản lý nhật ký an ninh mạng</t>
        </is>
      </c>
      <c r="C134" s="7" t="inlineStr">
        <is>
          <t>7.8.2.3 a)</t>
        </is>
      </c>
      <c r="D134" s="7" t="inlineStr">
        <is>
          <t>Kiểm soát và ghi vết truy cập vào log</t>
        </is>
      </c>
      <c r="E134" s="11" t="inlineStr"/>
      <c r="F134" s="7" t="inlineStr">
        <is>
          <t>Cấu hình phân quyền kho log</t>
        </is>
      </c>
      <c r="G134" s="7" t="inlineStr"/>
      <c r="H134" s="11" t="inlineStr"/>
      <c r="I134" s="11" t="inlineStr"/>
    </row>
    <row r="135">
      <c r="A135" s="7" t="inlineStr">
        <is>
          <t>7.8</t>
        </is>
      </c>
      <c r="B135" s="7" t="inlineStr">
        <is>
          <t>Quản lý nhật ký an ninh mạng</t>
        </is>
      </c>
      <c r="C135" s="7" t="inlineStr">
        <is>
          <t>7.8.2.3 b)</t>
        </is>
      </c>
      <c r="D135" s="7" t="inlineStr">
        <is>
          <t>Bảo đảm log không bị sửa, xóa (bất biến)</t>
        </is>
      </c>
      <c r="E135" s="11" t="inlineStr"/>
      <c r="F135" s="7" t="inlineStr">
        <is>
          <t>Cấu hình WORM/immutable</t>
        </is>
      </c>
      <c r="G135" s="7" t="inlineStr"/>
      <c r="H135" s="11" t="inlineStr"/>
      <c r="I135" s="11" t="inlineStr"/>
    </row>
    <row r="136">
      <c r="A136" s="7" t="inlineStr">
        <is>
          <t>7.8</t>
        </is>
      </c>
      <c r="B136" s="7" t="inlineStr">
        <is>
          <t>Quản lý nhật ký an ninh mạng</t>
        </is>
      </c>
      <c r="C136" s="7" t="inlineStr">
        <is>
          <t>7.8.2.3 c)</t>
        </is>
      </c>
      <c r="D136" s="7" t="inlineStr">
        <is>
          <t>Lưu log trên hệ thống riêng, khác vùng mạng với nguồn phát sinh; mã hóa log quan trọng</t>
        </is>
      </c>
      <c r="E136" s="11" t="inlineStr"/>
      <c r="F136" s="7" t="inlineStr">
        <is>
          <t>Sơ đồ kiến trúc lưu log</t>
        </is>
      </c>
      <c r="G136" s="7" t="inlineStr"/>
      <c r="H136" s="11" t="inlineStr"/>
      <c r="I136" s="11" t="inlineStr"/>
    </row>
    <row r="137">
      <c r="A137" s="7" t="inlineStr">
        <is>
          <t>7.9</t>
        </is>
      </c>
      <c r="B137" s="7" t="inlineStr">
        <is>
          <t>Bảo vệ trình duyệt web, thư điện tử</t>
        </is>
      </c>
      <c r="C137" s="7" t="inlineStr">
        <is>
          <t>7.9.2.1 a)</t>
        </is>
      </c>
      <c r="D137" s="7" t="inlineStr">
        <is>
          <t>Danh sách trình duyệt và dịch vụ email được phép</t>
        </is>
      </c>
      <c r="E137" s="11" t="inlineStr"/>
      <c r="F137" s="7" t="inlineStr">
        <is>
          <t>Danh sách được phép</t>
        </is>
      </c>
      <c r="G137" s="7" t="inlineStr"/>
      <c r="H137" s="11" t="inlineStr"/>
      <c r="I137" s="11" t="inlineStr"/>
    </row>
    <row r="138">
      <c r="A138" s="7" t="inlineStr">
        <is>
          <t>7.9</t>
        </is>
      </c>
      <c r="B138" s="7" t="inlineStr">
        <is>
          <t>Bảo vệ trình duyệt web, thư điện tử</t>
        </is>
      </c>
      <c r="C138" s="7" t="inlineStr">
        <is>
          <t>7.9.2.1 b)</t>
        </is>
      </c>
      <c r="D138" s="7" t="inlineStr">
        <is>
          <t>Chỉ dùng phiên bản còn được hãng hỗ trợ</t>
        </is>
      </c>
      <c r="E138" s="11" t="inlineStr"/>
      <c r="F138" s="7" t="inlineStr">
        <is>
          <t>Báo cáo phiên bản</t>
        </is>
      </c>
      <c r="G138" s="7" t="inlineStr"/>
      <c r="H138" s="11" t="inlineStr"/>
      <c r="I138" s="11" t="inlineStr"/>
    </row>
    <row r="139">
      <c r="A139" s="7" t="inlineStr">
        <is>
          <t>7.9</t>
        </is>
      </c>
      <c r="B139" s="7" t="inlineStr">
        <is>
          <t>Bảo vệ trình duyệt web, thư điện tử</t>
        </is>
      </c>
      <c r="C139" s="7" t="inlineStr">
        <is>
          <t>7.9.2.1 c)</t>
        </is>
      </c>
      <c r="D139" s="7" t="inlineStr">
        <is>
          <t>Có giải pháp bảo vệ an ninh cho hệ thống email (hoặc tương đương)</t>
        </is>
      </c>
      <c r="E139" s="11" t="inlineStr"/>
      <c r="F139" s="7" t="inlineStr">
        <is>
          <t>Hồ sơ email security gateway</t>
        </is>
      </c>
      <c r="G139" s="7" t="inlineStr"/>
      <c r="H139" s="11" t="inlineStr"/>
      <c r="I139" s="11" t="inlineStr"/>
    </row>
    <row r="140">
      <c r="A140" s="7" t="inlineStr">
        <is>
          <t>7.9</t>
        </is>
      </c>
      <c r="B140" s="7" t="inlineStr">
        <is>
          <t>Bảo vệ trình duyệt web, thư điện tử</t>
        </is>
      </c>
      <c r="C140" s="7" t="inlineStr">
        <is>
          <t>7.9.2.1 d)</t>
        </is>
      </c>
      <c r="D140" s="7" t="inlineStr">
        <is>
          <t>Cập nhật bản vá trình duyệt, email thường xuyên (hoặc biện pháp tương đương)</t>
        </is>
      </c>
      <c r="E140" s="11" t="inlineStr"/>
      <c r="F140" s="7" t="inlineStr">
        <is>
          <t>Báo cáo bản vá</t>
        </is>
      </c>
      <c r="G140" s="7" t="inlineStr"/>
      <c r="H140" s="11" t="inlineStr"/>
      <c r="I140" s="11" t="inlineStr"/>
    </row>
    <row r="141">
      <c r="A141" s="7" t="inlineStr">
        <is>
          <t>7.9</t>
        </is>
      </c>
      <c r="B141" s="7" t="inlineStr">
        <is>
          <t>Bảo vệ trình duyệt web, thư điện tử</t>
        </is>
      </c>
      <c r="C141" s="7" t="inlineStr">
        <is>
          <t>7.9.2.2</t>
        </is>
      </c>
      <c r="D141" s="7" t="inlineStr">
        <is>
          <t>Dùng dịch vụ lọc tên miền (DNS filtering) chặn tên miền giả mạo, độc hại</t>
        </is>
      </c>
      <c r="E141" s="11" t="inlineStr"/>
      <c r="F141" s="7" t="inlineStr">
        <is>
          <t>Cấu hình DNS filtering</t>
        </is>
      </c>
      <c r="G141" s="7" t="inlineStr"/>
      <c r="H141" s="11" t="inlineStr"/>
      <c r="I141" s="11" t="inlineStr"/>
    </row>
    <row r="142">
      <c r="A142" s="7" t="inlineStr">
        <is>
          <t>7.9</t>
        </is>
      </c>
      <c r="B142" s="7" t="inlineStr">
        <is>
          <t>Bảo vệ trình duyệt web, thư điện tử</t>
        </is>
      </c>
      <c r="C142" s="7" t="inlineStr">
        <is>
          <t>7.9.2.3</t>
        </is>
      </c>
      <c r="D142" s="7" t="inlineStr">
        <is>
          <t>Triển khai và cập nhật định kỳ bộ lọc URL chặn trang web độc hại/không được chấp thuận</t>
        </is>
      </c>
      <c r="E142" s="11" t="inlineStr"/>
      <c r="F142" s="7" t="inlineStr">
        <is>
          <t>Chính sách web filter</t>
        </is>
      </c>
      <c r="G142" s="7" t="inlineStr"/>
      <c r="H142" s="11" t="inlineStr"/>
      <c r="I142" s="11" t="inlineStr"/>
    </row>
    <row r="143">
      <c r="A143" s="7" t="inlineStr">
        <is>
          <t>7.9</t>
        </is>
      </c>
      <c r="B143" s="7" t="inlineStr">
        <is>
          <t>Bảo vệ trình duyệt web, thư điện tử</t>
        </is>
      </c>
      <c r="C143" s="7" t="inlineStr">
        <is>
          <t>7.9.2.4 a)</t>
        </is>
      </c>
      <c r="D143" s="7" t="inlineStr">
        <is>
          <t>Danh sách tiện ích mở rộng được phép trên trình duyệt, email</t>
        </is>
      </c>
      <c r="E143" s="11" t="inlineStr"/>
      <c r="F143" s="7" t="inlineStr">
        <is>
          <t>Danh sách extension</t>
        </is>
      </c>
      <c r="G143" s="7" t="inlineStr"/>
      <c r="H143" s="11" t="inlineStr"/>
      <c r="I143" s="11" t="inlineStr"/>
    </row>
    <row r="144">
      <c r="A144" s="7" t="inlineStr">
        <is>
          <t>7.9</t>
        </is>
      </c>
      <c r="B144" s="7" t="inlineStr">
        <is>
          <t>Bảo vệ trình duyệt web, thư điện tử</t>
        </is>
      </c>
      <c r="C144" s="7" t="inlineStr">
        <is>
          <t>7.9.2.4 b)</t>
        </is>
      </c>
      <c r="D144" s="7" t="inlineStr">
        <is>
          <t>Kiểm soát cài đặt, sử dụng tiện ích mở rộng</t>
        </is>
      </c>
      <c r="E144" s="11" t="inlineStr"/>
      <c r="F144" s="7" t="inlineStr">
        <is>
          <t>GPO/MDM chặn extension</t>
        </is>
      </c>
      <c r="G144" s="7" t="inlineStr"/>
      <c r="H144" s="11" t="inlineStr"/>
      <c r="I144" s="11" t="inlineStr"/>
    </row>
    <row r="145">
      <c r="A145" s="7" t="inlineStr">
        <is>
          <t>7.9</t>
        </is>
      </c>
      <c r="B145" s="7" t="inlineStr">
        <is>
          <t>Bảo vệ trình duyệt web, thư điện tử</t>
        </is>
      </c>
      <c r="C145" s="7" t="inlineStr">
        <is>
          <t>7.9.2.4 c)</t>
        </is>
      </c>
      <c r="D145" s="7" t="inlineStr">
        <is>
          <t>Gỡ/tắt tiện ích mở rộng không được cấp phép</t>
        </is>
      </c>
      <c r="E145" s="11" t="inlineStr"/>
      <c r="F145" s="7" t="inlineStr">
        <is>
          <t>Báo cáo rà soát</t>
        </is>
      </c>
      <c r="G145" s="7" t="inlineStr"/>
      <c r="H145" s="11" t="inlineStr"/>
      <c r="I145" s="11" t="inlineStr"/>
    </row>
    <row r="146">
      <c r="A146" s="7" t="inlineStr">
        <is>
          <t>7.9</t>
        </is>
      </c>
      <c r="B146" s="7" t="inlineStr">
        <is>
          <t>Bảo vệ trình duyệt web, thư điện tử</t>
        </is>
      </c>
      <c r="C146" s="7" t="inlineStr">
        <is>
          <t>7.9.2.5</t>
        </is>
      </c>
      <c r="D146" s="7" t="inlineStr">
        <is>
          <t>Triển khai DMARC cho tên miền email của tổ chức</t>
        </is>
      </c>
      <c r="E146" s="11" t="inlineStr"/>
      <c r="F146" s="7" t="inlineStr">
        <is>
          <t>Bản ghi DNS DMARC/SPF/DKIM</t>
        </is>
      </c>
      <c r="G146" s="7" t="inlineStr"/>
      <c r="H146" s="11" t="inlineStr"/>
      <c r="I146" s="11" t="inlineStr"/>
    </row>
    <row r="147">
      <c r="A147" s="7" t="inlineStr">
        <is>
          <t>7.9</t>
        </is>
      </c>
      <c r="B147" s="7" t="inlineStr">
        <is>
          <t>Bảo vệ trình duyệt web, thư điện tử</t>
        </is>
      </c>
      <c r="C147" s="7" t="inlineStr">
        <is>
          <t>7.9.2.6 a)</t>
        </is>
      </c>
      <c r="D147" s="7" t="inlineStr">
        <is>
          <t>Danh sách loại tệp được phép đính kèm email</t>
        </is>
      </c>
      <c r="E147" s="11" t="inlineStr"/>
      <c r="F147" s="7" t="inlineStr">
        <is>
          <t>Chính sách đính kèm</t>
        </is>
      </c>
      <c r="G147" s="7" t="inlineStr"/>
      <c r="H147" s="11" t="inlineStr"/>
      <c r="I147" s="11" t="inlineStr"/>
    </row>
    <row r="148">
      <c r="A148" s="7" t="inlineStr">
        <is>
          <t>7.9</t>
        </is>
      </c>
      <c r="B148" s="7" t="inlineStr">
        <is>
          <t>Bảo vệ trình duyệt web, thư điện tử</t>
        </is>
      </c>
      <c r="C148" s="7" t="inlineStr">
        <is>
          <t>7.9.2.6 b)</t>
        </is>
      </c>
      <c r="D148" s="7" t="inlineStr">
        <is>
          <t>Chặn tệp ngoài danh sách; kiểm soát email có đính kèm</t>
        </is>
      </c>
      <c r="E148" s="11" t="inlineStr"/>
      <c r="F148" s="7" t="inlineStr">
        <is>
          <t>Cấu hình gateway</t>
        </is>
      </c>
      <c r="G148" s="7" t="inlineStr"/>
      <c r="H148" s="11" t="inlineStr"/>
      <c r="I148" s="11" t="inlineStr"/>
    </row>
    <row r="149">
      <c r="A149" s="7" t="inlineStr">
        <is>
          <t>7.9</t>
        </is>
      </c>
      <c r="B149" s="7" t="inlineStr">
        <is>
          <t>Bảo vệ trình duyệt web, thư điện tử</t>
        </is>
      </c>
      <c r="C149" s="7" t="inlineStr">
        <is>
          <t>7.9.2.7</t>
        </is>
      </c>
      <c r="D149" s="7" t="inlineStr">
        <is>
          <t>Có biện pháp chống mã độc cho máy chủ email</t>
        </is>
      </c>
      <c r="E149" s="11" t="inlineStr"/>
      <c r="F149" s="7" t="inlineStr">
        <is>
          <t>Hồ sơ giải pháp</t>
        </is>
      </c>
      <c r="G149" s="7" t="inlineStr">
        <is>
          <t>Mới/khác so với cấp 4</t>
        </is>
      </c>
      <c r="H149" s="11" t="inlineStr"/>
      <c r="I149" s="11" t="inlineStr"/>
    </row>
    <row r="150">
      <c r="A150" s="7" t="inlineStr">
        <is>
          <t>7.10</t>
        </is>
      </c>
      <c r="B150" s="7" t="inlineStr">
        <is>
          <t>Phòng chống phần mềm độc hại</t>
        </is>
      </c>
      <c r="C150" s="7" t="inlineStr">
        <is>
          <t>7.10.1 a)</t>
        </is>
      </c>
      <c r="D150" s="7" t="inlineStr">
        <is>
          <t>Quy định phòng, chống, khắc phục mã độc</t>
        </is>
      </c>
      <c r="E150" s="11" t="inlineStr"/>
      <c r="F150" s="7" t="inlineStr">
        <is>
          <t>Quy định phòng chống mã độc</t>
        </is>
      </c>
      <c r="G150" s="7" t="inlineStr"/>
      <c r="H150" s="11" t="inlineStr"/>
      <c r="I150" s="11" t="inlineStr"/>
    </row>
    <row r="151">
      <c r="A151" s="7" t="inlineStr">
        <is>
          <t>7.10</t>
        </is>
      </c>
      <c r="B151" s="7" t="inlineStr">
        <is>
          <t>Phòng chống phần mềm độc hại</t>
        </is>
      </c>
      <c r="C151" s="7" t="inlineStr">
        <is>
          <t>7.10.1 b)</t>
        </is>
      </c>
      <c r="D151" s="7" t="inlineStr">
        <is>
          <t>Chống mã độc cho mọi tài sản và điểm kết nối (trong và ngoài); tự quét, chặn, cập nhật mẫu, gắn với quy trình lỗ hổng/sự cố</t>
        </is>
      </c>
      <c r="E151" s="11" t="inlineStr"/>
      <c r="F151" s="7" t="inlineStr">
        <is>
          <t>Kiến trúc giải pháp</t>
        </is>
      </c>
      <c r="G151" s="7" t="inlineStr"/>
      <c r="H151" s="11" t="inlineStr"/>
      <c r="I151" s="11" t="inlineStr"/>
    </row>
    <row r="152">
      <c r="A152" s="7" t="inlineStr">
        <is>
          <t>7.10</t>
        </is>
      </c>
      <c r="B152" s="7" t="inlineStr">
        <is>
          <t>Phòng chống phần mềm độc hại</t>
        </is>
      </c>
      <c r="C152" s="7" t="inlineStr">
        <is>
          <t>7.10.2.1 a)</t>
        </is>
      </c>
      <c r="D152" s="7" t="inlineStr">
        <is>
          <t>Cài và duy trì phần mềm chống mã độc (hoặc tương đương) trên máy chủ, máy người dùng</t>
        </is>
      </c>
      <c r="E152" s="11" t="inlineStr"/>
      <c r="F152" s="7" t="inlineStr">
        <is>
          <t>Báo cáo độ phủ agent</t>
        </is>
      </c>
      <c r="G152" s="7" t="inlineStr"/>
      <c r="H152" s="11" t="inlineStr"/>
      <c r="I152" s="11" t="inlineStr"/>
    </row>
    <row r="153">
      <c r="A153" s="7" t="inlineStr">
        <is>
          <t>7.10</t>
        </is>
      </c>
      <c r="B153" s="7" t="inlineStr">
        <is>
          <t>Phòng chống phần mềm độc hại</t>
        </is>
      </c>
      <c r="C153" s="7" t="inlineStr">
        <is>
          <t>7.10.2.1 b)</t>
        </is>
      </c>
      <c r="D153" s="7" t="inlineStr">
        <is>
          <t>Tính năng tối thiểu: bảo vệ thời gian thực, phát hiện theo hành vi, tự cập nhật mẫu</t>
        </is>
      </c>
      <c r="E153" s="11" t="inlineStr"/>
      <c r="F153" s="7" t="inlineStr">
        <is>
          <t>Cấu hình sản phẩm</t>
        </is>
      </c>
      <c r="G153" s="7" t="inlineStr"/>
      <c r="H153" s="11" t="inlineStr"/>
      <c r="I153" s="11" t="inlineStr"/>
    </row>
    <row r="154">
      <c r="A154" s="7" t="inlineStr">
        <is>
          <t>7.10</t>
        </is>
      </c>
      <c r="B154" s="7" t="inlineStr">
        <is>
          <t>Phòng chống phần mềm độc hại</t>
        </is>
      </c>
      <c r="C154" s="7" t="inlineStr">
        <is>
          <t>7.10.2.2</t>
        </is>
      </c>
      <c r="D154" s="7" t="inlineStr">
        <is>
          <t>Quét mã độc và tắt autorun/autoplay với USB, ổ cứng, thẻ nhớ</t>
        </is>
      </c>
      <c r="E154" s="11" t="inlineStr"/>
      <c r="F154" s="7" t="inlineStr">
        <is>
          <t>GPO tắt autorun, chính sách quét</t>
        </is>
      </c>
      <c r="G154" s="7" t="inlineStr"/>
      <c r="H154" s="11" t="inlineStr"/>
      <c r="I154" s="11" t="inlineStr"/>
    </row>
    <row r="155">
      <c r="A155" s="7" t="inlineStr">
        <is>
          <t>7.10</t>
        </is>
      </c>
      <c r="B155" s="7" t="inlineStr">
        <is>
          <t>Phòng chống phần mềm độc hại</t>
        </is>
      </c>
      <c r="C155" s="7" t="inlineStr">
        <is>
          <t>7.10.2.3</t>
        </is>
      </c>
      <c r="D155" s="7" t="inlineStr">
        <is>
          <t>Quản lý tập trung phần mềm chống mã độc (cập nhật, cảnh báo, quản lý)</t>
        </is>
      </c>
      <c r="E155" s="11" t="inlineStr"/>
      <c r="F155" s="7" t="inlineStr">
        <is>
          <t>Console quản lý tập trung</t>
        </is>
      </c>
      <c r="G155" s="7" t="inlineStr"/>
      <c r="H155" s="11" t="inlineStr"/>
      <c r="I155" s="11" t="inlineStr"/>
    </row>
    <row r="156">
      <c r="A156" s="7" t="inlineStr">
        <is>
          <t>7.10</t>
        </is>
      </c>
      <c r="B156" s="7" t="inlineStr">
        <is>
          <t>Phòng chống phần mềm độc hại</t>
        </is>
      </c>
      <c r="C156" s="7" t="inlineStr">
        <is>
          <t>7.10.2.4</t>
        </is>
      </c>
      <c r="D156" s="7" t="inlineStr">
        <is>
          <t>Bật tính năng chống khai thác lỗ hổng (exploit protection) nếu có</t>
        </is>
      </c>
      <c r="E156" s="11" t="inlineStr"/>
      <c r="F156" s="7" t="inlineStr">
        <is>
          <t>Cấu hình</t>
        </is>
      </c>
      <c r="G156" s="7" t="inlineStr"/>
      <c r="H156" s="11" t="inlineStr"/>
      <c r="I156" s="11" t="inlineStr"/>
    </row>
    <row r="157">
      <c r="A157" s="7" t="inlineStr">
        <is>
          <t>7.10</t>
        </is>
      </c>
      <c r="B157" s="7" t="inlineStr">
        <is>
          <t>Phòng chống phần mềm độc hại</t>
        </is>
      </c>
      <c r="C157" s="7" t="inlineStr">
        <is>
          <t>7.10.2.5 a)</t>
        </is>
      </c>
      <c r="D157" s="7" t="inlineStr">
        <is>
          <t>Triển khai EDR (hoặc tương đương) phát hiện theo hành vi trên máy chủ, máy người dùng</t>
        </is>
      </c>
      <c r="E157" s="11" t="inlineStr"/>
      <c r="F157" s="7" t="inlineStr">
        <is>
          <t>Hồ sơ EDR, độ phủ</t>
        </is>
      </c>
      <c r="G157" s="7" t="inlineStr"/>
      <c r="H157" s="11" t="inlineStr"/>
      <c r="I157" s="11" t="inlineStr"/>
    </row>
    <row r="158">
      <c r="A158" s="7" t="inlineStr">
        <is>
          <t>7.10</t>
        </is>
      </c>
      <c r="B158" s="7" t="inlineStr">
        <is>
          <t>Phòng chống phần mềm độc hại</t>
        </is>
      </c>
      <c r="C158" s="7" t="inlineStr">
        <is>
          <t>7.10.2.5 b)</t>
        </is>
      </c>
      <c r="D158" s="7" t="inlineStr">
        <is>
          <t>Kết nối EDR về SIEM để giám sát, cảnh báo thời gian thực</t>
        </is>
      </c>
      <c r="E158" s="11" t="inlineStr"/>
      <c r="F158" s="7" t="inlineStr">
        <is>
          <t>Cấu hình tích hợp</t>
        </is>
      </c>
      <c r="G158" s="7" t="inlineStr"/>
      <c r="H158" s="11" t="inlineStr"/>
      <c r="I158" s="11" t="inlineStr"/>
    </row>
    <row r="159">
      <c r="A159" s="7" t="inlineStr">
        <is>
          <t>7.11</t>
        </is>
      </c>
      <c r="B159" s="7" t="inlineStr">
        <is>
          <t>Sao lưu và khôi phục dữ liệu</t>
        </is>
      </c>
      <c r="C159" s="7" t="inlineStr">
        <is>
          <t>7.11.2.1 a)</t>
        </is>
      </c>
      <c r="D159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59" s="11" t="inlineStr"/>
      <c r="F159" s="7" t="inlineStr">
        <is>
          <t>Quy định sao lưu</t>
        </is>
      </c>
      <c r="G159" s="7" t="inlineStr"/>
      <c r="H159" s="11" t="inlineStr"/>
      <c r="I159" s="11" t="inlineStr"/>
    </row>
    <row r="160">
      <c r="A160" s="7" t="inlineStr">
        <is>
          <t>7.11</t>
        </is>
      </c>
      <c r="B160" s="7" t="inlineStr">
        <is>
          <t>Sao lưu và khôi phục dữ liệu</t>
        </is>
      </c>
      <c r="C160" s="7" t="inlineStr">
        <is>
          <t>7.11.2.1 b)</t>
        </is>
      </c>
      <c r="D160" s="7" t="inlineStr">
        <is>
          <t>Giải pháp lưu trữ/sao lưu tập trung sẵn sàng cao, khôi phục nóng khi một thành phần hỏng</t>
        </is>
      </c>
      <c r="E160" s="11" t="inlineStr"/>
      <c r="F160" s="7" t="inlineStr">
        <is>
          <t>Kiến trúc sao lưu</t>
        </is>
      </c>
      <c r="G160" s="7" t="inlineStr"/>
      <c r="H160" s="11" t="inlineStr"/>
      <c r="I160" s="11" t="inlineStr"/>
    </row>
    <row r="161">
      <c r="A161" s="7" t="inlineStr">
        <is>
          <t>7.11</t>
        </is>
      </c>
      <c r="B161" s="7" t="inlineStr">
        <is>
          <t>Sao lưu và khôi phục dữ liệu</t>
        </is>
      </c>
      <c r="C161" s="7" t="inlineStr">
        <is>
          <t>7.11.2.1 c)</t>
        </is>
      </c>
      <c r="D161" s="7" t="inlineStr">
        <is>
          <t>Rà soát quy định sao lưu ≥ 1 lần/năm hoặc khi thay đổi</t>
        </is>
      </c>
      <c r="E161" s="11" t="inlineStr"/>
      <c r="F161" s="7" t="inlineStr">
        <is>
          <t>Lịch sử phiên bản</t>
        </is>
      </c>
      <c r="G161" s="7" t="inlineStr"/>
      <c r="H161" s="11" t="inlineStr"/>
      <c r="I161" s="11" t="inlineStr"/>
    </row>
    <row r="162">
      <c r="A162" s="7" t="inlineStr">
        <is>
          <t>7.11</t>
        </is>
      </c>
      <c r="B162" s="7" t="inlineStr">
        <is>
          <t>Sao lưu và khôi phục dữ liệu</t>
        </is>
      </c>
      <c r="C162" s="7" t="inlineStr">
        <is>
          <t>7.11.2.2 a)</t>
        </is>
      </c>
      <c r="D162" s="7" t="inlineStr">
        <is>
          <t>Danh sách dữ liệu cần sao lưu và tần suất theo ngày/tuần/tháng…</t>
        </is>
      </c>
      <c r="E162" s="11" t="inlineStr"/>
      <c r="F162" s="7" t="inlineStr">
        <is>
          <t>Bảng lịch sao lưu</t>
        </is>
      </c>
      <c r="G162" s="7" t="inlineStr"/>
      <c r="H162" s="11" t="inlineStr"/>
      <c r="I162" s="11" t="inlineStr"/>
    </row>
    <row r="163">
      <c r="A163" s="7" t="inlineStr">
        <is>
          <t>7.11</t>
        </is>
      </c>
      <c r="B163" s="7" t="inlineStr">
        <is>
          <t>Sao lưu và khôi phục dữ liệu</t>
        </is>
      </c>
      <c r="C163" s="7" t="inlineStr">
        <is>
          <t>7.11.2.2 b)</t>
        </is>
      </c>
      <c r="D163" s="7" t="inlineStr">
        <is>
          <t>Sao lưu tự động (giải pháp hoặc tương đương)</t>
        </is>
      </c>
      <c r="E163" s="11" t="inlineStr"/>
      <c r="F163" s="7" t="inlineStr">
        <is>
          <t>Cấu hình job sao lưu</t>
        </is>
      </c>
      <c r="G163" s="7" t="inlineStr"/>
      <c r="H163" s="11" t="inlineStr"/>
      <c r="I163" s="11" t="inlineStr"/>
    </row>
    <row r="164">
      <c r="A164" s="7" t="inlineStr">
        <is>
          <t>7.11</t>
        </is>
      </c>
      <c r="B164" s="7" t="inlineStr">
        <is>
          <t>Sao lưu và khôi phục dữ liệu</t>
        </is>
      </c>
      <c r="C164" s="7" t="inlineStr">
        <is>
          <t>7.11.2.3 a)</t>
        </is>
      </c>
      <c r="D164" s="7" t="inlineStr">
        <is>
          <t>Áp dụng quy tắc 3-2-1 (hoặc tương đương) cho bản sao lưu</t>
        </is>
      </c>
      <c r="E164" s="11" t="inlineStr"/>
      <c r="F164" s="7" t="inlineStr">
        <is>
          <t>Sơ đồ 3-2-1</t>
        </is>
      </c>
      <c r="G164" s="7" t="inlineStr"/>
      <c r="H164" s="11" t="inlineStr"/>
      <c r="I164" s="11" t="inlineStr"/>
    </row>
    <row r="165">
      <c r="A165" s="7" t="inlineStr">
        <is>
          <t>7.11</t>
        </is>
      </c>
      <c r="B165" s="7" t="inlineStr">
        <is>
          <t>Sao lưu và khôi phục dữ liệu</t>
        </is>
      </c>
      <c r="C165" s="7" t="inlineStr">
        <is>
          <t>7.11.2.3 b)</t>
        </is>
      </c>
      <c r="D165" s="7" t="inlineStr">
        <is>
          <t>Mã hóa bản sao lưu dữ liệu nhạy cảm cao, dữ liệu quan trọng</t>
        </is>
      </c>
      <c r="E165" s="11" t="inlineStr"/>
      <c r="F165" s="7" t="inlineStr">
        <is>
          <t>Cấu hình mã hóa backup</t>
        </is>
      </c>
      <c r="G165" s="7" t="inlineStr"/>
      <c r="H165" s="11" t="inlineStr"/>
      <c r="I165" s="11" t="inlineStr"/>
    </row>
    <row r="166">
      <c r="A166" s="7" t="inlineStr">
        <is>
          <t>7.11</t>
        </is>
      </c>
      <c r="B166" s="7" t="inlineStr">
        <is>
          <t>Sao lưu và khôi phục dữ liệu</t>
        </is>
      </c>
      <c r="C166" s="7" t="inlineStr">
        <is>
          <t>7.11.2.4 a)</t>
        </is>
      </c>
      <c r="D166" s="7" t="inlineStr">
        <is>
          <t>Định danh, quản lý phiên bản bản sao lưu; lưu trên hạ tầng độc lập, tách biệt môi trường vận hành</t>
        </is>
      </c>
      <c r="E166" s="11" t="inlineStr"/>
      <c r="F166" s="7" t="inlineStr">
        <is>
          <t>Sơ đồ hạ tầng backup</t>
        </is>
      </c>
      <c r="G166" s="7" t="inlineStr"/>
      <c r="H166" s="11" t="inlineStr"/>
      <c r="I166" s="11" t="inlineStr"/>
    </row>
    <row r="167">
      <c r="A167" s="7" t="inlineStr">
        <is>
          <t>7.11</t>
        </is>
      </c>
      <c r="B167" s="7" t="inlineStr">
        <is>
          <t>Sao lưu và khôi phục dữ liệu</t>
        </is>
      </c>
      <c r="C167" s="7" t="inlineStr">
        <is>
          <t>7.11.2.4 b)</t>
        </is>
      </c>
      <c r="D167" s="7" t="inlineStr">
        <is>
          <t>Lưu dự phòng dữ liệu quan trọng ở vị trí địa lý khác, điều kiện bảo quản tương đương hệ chính</t>
        </is>
      </c>
      <c r="E167" s="11" t="inlineStr"/>
      <c r="F167" s="7" t="inlineStr">
        <is>
          <t>Hồ sơ site dự phòng</t>
        </is>
      </c>
      <c r="G167" s="7" t="inlineStr">
        <is>
          <t>Mới/khác so với cấp 4</t>
        </is>
      </c>
      <c r="H167" s="11" t="inlineStr"/>
      <c r="I167" s="11" t="inlineStr"/>
    </row>
    <row r="168">
      <c r="A168" s="7" t="inlineStr">
        <is>
          <t>7.11</t>
        </is>
      </c>
      <c r="B168" s="7" t="inlineStr">
        <is>
          <t>Sao lưu và khôi phục dữ liệu</t>
        </is>
      </c>
      <c r="C168" s="7" t="inlineStr">
        <is>
          <t>7.11.2.4 c)</t>
        </is>
      </c>
      <c r="D168" s="7" t="inlineStr">
        <is>
          <t>Ít nhất 2 kết nối mạng giữa hệ thống sao lưu chính và phụ</t>
        </is>
      </c>
      <c r="E168" s="11" t="inlineStr"/>
      <c r="F168" s="7" t="inlineStr">
        <is>
          <t>Sơ đồ kết nối</t>
        </is>
      </c>
      <c r="G168" s="7" t="inlineStr">
        <is>
          <t>Mới/khác so với cấp 4</t>
        </is>
      </c>
      <c r="H168" s="11" t="inlineStr"/>
      <c r="I168" s="11" t="inlineStr"/>
    </row>
    <row r="169">
      <c r="A169" s="7" t="inlineStr">
        <is>
          <t>7.11</t>
        </is>
      </c>
      <c r="B169" s="7" t="inlineStr">
        <is>
          <t>Sao lưu và khôi phục dữ liệu</t>
        </is>
      </c>
      <c r="C169" s="7" t="inlineStr">
        <is>
          <t>7.11.2.5</t>
        </is>
      </c>
      <c r="D169" s="7" t="inlineStr">
        <is>
          <t>Có phương án khôi phục toàn vẹn; thử khôi phục bản sao lưu ≥ 1 lần/quý</t>
        </is>
      </c>
      <c r="E169" s="11" t="inlineStr"/>
      <c r="F169" s="7" t="inlineStr">
        <is>
          <t>Biên bản khôi phục thử</t>
        </is>
      </c>
      <c r="G169" s="7" t="inlineStr">
        <is>
          <t>Mới/khác so với cấp 4</t>
        </is>
      </c>
      <c r="H169" s="11" t="inlineStr"/>
      <c r="I169" s="11" t="inlineStr"/>
    </row>
    <row r="170">
      <c r="A170" s="7" t="inlineStr">
        <is>
          <t>7.12</t>
        </is>
      </c>
      <c r="B170" s="7" t="inlineStr">
        <is>
          <t>Quản lý hạ tầng mạng</t>
        </is>
      </c>
      <c r="C170" s="7" t="inlineStr">
        <is>
          <t>7.12.2.1 a)</t>
        </is>
      </c>
      <c r="D170" s="7" t="inlineStr">
        <is>
          <t>Lập, duy trì sơ đồ mạng; hồ sơ thiết kế và biện pháp ANM được chuyên gia/bộ phận chuyên môn thẩm tra trước khi triển khai</t>
        </is>
      </c>
      <c r="E170" s="11" t="inlineStr"/>
      <c r="F170" s="7" t="inlineStr">
        <is>
          <t>Sơ đồ mạng; biên bản thẩm tra thiết kế (cấp 4–5)</t>
        </is>
      </c>
      <c r="G170" s="7" t="inlineStr"/>
      <c r="H170" s="11" t="inlineStr"/>
      <c r="I170" s="11" t="inlineStr"/>
    </row>
    <row r="171">
      <c r="A171" s="7" t="inlineStr">
        <is>
          <t>7.12</t>
        </is>
      </c>
      <c r="B171" s="7" t="inlineStr">
        <is>
          <t>Quản lý hạ tầng mạng</t>
        </is>
      </c>
      <c r="C171" s="7" t="inlineStr">
        <is>
          <t>7.12.2.1 b)</t>
        </is>
      </c>
      <c r="D171" s="7" t="inlineStr">
        <is>
          <t>Kiến trúc theo Zero Trust, lấy dữ liệu làm trung tâm; phân đoạn vi mô cách ly máy chủ, ứng dụng quan trọng</t>
        </is>
      </c>
      <c r="E171" s="11" t="inlineStr"/>
      <c r="F171" s="7" t="inlineStr">
        <is>
          <t>Thiết kế microsegmentation</t>
        </is>
      </c>
      <c r="G171" s="7" t="inlineStr">
        <is>
          <t>Mới/khác so với cấp 4</t>
        </is>
      </c>
      <c r="H171" s="11" t="inlineStr"/>
      <c r="I171" s="11" t="inlineStr"/>
    </row>
    <row r="172">
      <c r="A172" s="7" t="inlineStr">
        <is>
          <t>7.12</t>
        </is>
      </c>
      <c r="B172" s="7" t="inlineStr">
        <is>
          <t>Quản lý hạ tầng mạng</t>
        </is>
      </c>
      <c r="C172" s="7" t="inlineStr">
        <is>
          <t>7.12.2.1 c)</t>
        </is>
      </c>
      <c r="D172" s="7" t="inlineStr">
        <is>
          <t>Kiến trúc mạng an toàn theo 3 nguyên tắc: phân vùng, đặc quyền tối thiểu, sẵn sàng</t>
        </is>
      </c>
      <c r="E172" s="11" t="inlineStr"/>
      <c r="F172" s="7" t="inlineStr">
        <is>
          <t>Tài liệu kiến trúc</t>
        </is>
      </c>
      <c r="G172" s="7" t="inlineStr"/>
      <c r="H172" s="11" t="inlineStr"/>
      <c r="I172" s="11" t="inlineStr"/>
    </row>
    <row r="173">
      <c r="A173" s="7" t="inlineStr">
        <is>
          <t>7.12</t>
        </is>
      </c>
      <c r="B173" s="7" t="inlineStr">
        <is>
          <t>Quản lý hạ tầng mạng</t>
        </is>
      </c>
      <c r="C173" s="7" t="inlineStr">
        <is>
          <t>7.12.2.1 d)</t>
        </is>
      </c>
      <c r="D173" s="7" t="inlineStr">
        <is>
          <t>Kết nối mạng an toàn từ khâu thiết lập kênh đến trao đổi dữ liệu</t>
        </is>
      </c>
      <c r="E173" s="11" t="inlineStr"/>
      <c r="F173" s="7" t="inlineStr">
        <is>
          <t>Cấu hình kênh (TLS/IPsec)</t>
        </is>
      </c>
      <c r="G173" s="7" t="inlineStr"/>
      <c r="H173" s="11" t="inlineStr"/>
      <c r="I173" s="11" t="inlineStr"/>
    </row>
    <row r="174">
      <c r="A174" s="7" t="inlineStr">
        <is>
          <t>7.12</t>
        </is>
      </c>
      <c r="B174" s="7" t="inlineStr">
        <is>
          <t>Quản lý hạ tầng mạng</t>
        </is>
      </c>
      <c r="C174" s="7" t="inlineStr">
        <is>
          <t>7.12.2.1 e)</t>
        </is>
      </c>
      <c r="D174" s="7" t="inlineStr">
        <is>
          <t>Hồ sơ mạng gồm: tổng quan kiến trúc, sơ đồ chi tiết, tài liệu kỹ thuật, mô tả phương án ANM</t>
        </is>
      </c>
      <c r="E174" s="11" t="inlineStr"/>
      <c r="F174" s="7" t="inlineStr">
        <is>
          <t>Bộ hồ sơ mạng</t>
        </is>
      </c>
      <c r="G174" s="7" t="inlineStr"/>
      <c r="H174" s="11" t="inlineStr"/>
      <c r="I174" s="11" t="inlineStr"/>
    </row>
    <row r="175">
      <c r="A175" s="7" t="inlineStr">
        <is>
          <t>7.12</t>
        </is>
      </c>
      <c r="B175" s="7" t="inlineStr">
        <is>
          <t>Quản lý hạ tầng mạng</t>
        </is>
      </c>
      <c r="C175" s="7" t="inlineStr">
        <is>
          <t>7.12.2.1 f)</t>
        </is>
      </c>
      <c r="D175" s="7" t="inlineStr">
        <is>
          <t>Quản lý, bảo vệ tài liệu và hồ sơ thiết kế</t>
        </is>
      </c>
      <c r="E175" s="11" t="inlineStr"/>
      <c r="F175" s="7" t="inlineStr">
        <is>
          <t>Quy định lưu trữ hồ sơ thiết kế</t>
        </is>
      </c>
      <c r="G175" s="7" t="inlineStr"/>
      <c r="H175" s="11" t="inlineStr"/>
      <c r="I175" s="11" t="inlineStr"/>
    </row>
    <row r="176">
      <c r="A176" s="7" t="inlineStr">
        <is>
          <t>7.12</t>
        </is>
      </c>
      <c r="B176" s="7" t="inlineStr">
        <is>
          <t>Quản lý hạ tầng mạng</t>
        </is>
      </c>
      <c r="C176" s="7" t="inlineStr">
        <is>
          <t>7.12.2.1 g)</t>
        </is>
      </c>
      <c r="D176" s="7" t="inlineStr">
        <is>
          <t>Cập nhật sơ đồ mạng 1 lần/quý hoặc khi thay đổi</t>
        </is>
      </c>
      <c r="E176" s="11" t="inlineStr"/>
      <c r="F176" s="7" t="inlineStr">
        <is>
          <t>Lịch sử phiên bản sơ đồ</t>
        </is>
      </c>
      <c r="G176" s="7" t="inlineStr">
        <is>
          <t>Mới/khác so với cấp 4</t>
        </is>
      </c>
      <c r="H176" s="11" t="inlineStr"/>
      <c r="I176" s="11" t="inlineStr"/>
    </row>
    <row r="177">
      <c r="A177" s="7" t="inlineStr">
        <is>
          <t>7.12</t>
        </is>
      </c>
      <c r="B177" s="7" t="inlineStr">
        <is>
          <t>Quản lý hạ tầng mạng</t>
        </is>
      </c>
      <c r="C177" s="7" t="inlineStr">
        <is>
          <t>7.12.2.2 a)</t>
        </is>
      </c>
      <c r="D177" s="7" t="inlineStr">
        <is>
          <t>Cân bằng tải, dự phòng nóng thiết bị mạng chính; nếu buộc nối Internet: ≥ 2 hướng Internet quốc tế từ nhà mạng trong nước khác hạ tầng</t>
        </is>
      </c>
      <c r="E177" s="11" t="inlineStr"/>
      <c r="F177" s="7" t="inlineStr">
        <is>
          <t>Sơ đồ HA, hợp đồng kênh truyền</t>
        </is>
      </c>
      <c r="G177" s="7" t="inlineStr"/>
      <c r="H177" s="11" t="inlineStr"/>
      <c r="I177" s="11" t="inlineStr"/>
    </row>
    <row r="178">
      <c r="A178" s="7" t="inlineStr">
        <is>
          <t>7.12</t>
        </is>
      </c>
      <c r="B178" s="7" t="inlineStr">
        <is>
          <t>Quản lý hạ tầng mạng</t>
        </is>
      </c>
      <c r="C178" s="7" t="inlineStr">
        <is>
          <t>7.12.2.2 a)</t>
        </is>
      </c>
      <c r="D178" s="7" t="inlineStr">
        <is>
          <t>Dự phòng hệ thống ở vị trí địa lý khác, cách tối thiểu 30 km; dự phòng kết nối giữa hệ chính và dự phòng</t>
        </is>
      </c>
      <c r="E178" s="11" t="inlineStr"/>
      <c r="F178" s="7" t="inlineStr">
        <is>
          <t>Hồ sơ DR site, khoảng cách</t>
        </is>
      </c>
      <c r="G178" s="7" t="inlineStr">
        <is>
          <t>Mới/khác so với cấp 4</t>
        </is>
      </c>
      <c r="H178" s="11" t="inlineStr"/>
      <c r="I178" s="11" t="inlineStr"/>
    </row>
    <row r="179">
      <c r="A179" s="7" t="inlineStr">
        <is>
          <t>7.12</t>
        </is>
      </c>
      <c r="B179" s="7" t="inlineStr">
        <is>
          <t>Quản lý hạ tầng mạng</t>
        </is>
      </c>
      <c r="C179" s="7" t="inlineStr">
        <is>
          <t>7.12.2.2 a)</t>
        </is>
      </c>
      <c r="D179" s="7" t="inlineStr">
        <is>
          <t>Bảo đảm an toàn mạng không dây (nếu có)</t>
        </is>
      </c>
      <c r="E179" s="11" t="inlineStr"/>
      <c r="F179" s="7" t="inlineStr">
        <is>
          <t>Cấu hình WPA2/3-Enterprise, tách SSID</t>
        </is>
      </c>
      <c r="G179" s="7" t="inlineStr"/>
      <c r="H179" s="11" t="inlineStr"/>
      <c r="I179" s="11" t="inlineStr"/>
    </row>
    <row r="180">
      <c r="A180" s="7" t="inlineStr">
        <is>
          <t>7.12</t>
        </is>
      </c>
      <c r="B180" s="7" t="inlineStr">
        <is>
          <t>Quản lý hạ tầng mạng</t>
        </is>
      </c>
      <c r="C180" s="7" t="inlineStr">
        <is>
          <t>7.12.2.2 a)</t>
        </is>
      </c>
      <c r="D180" s="7" t="inlineStr">
        <is>
          <t>Dự phòng kết nối mạng cho máy chủ cung cấp dịch vụ</t>
        </is>
      </c>
      <c r="E180" s="11" t="inlineStr"/>
      <c r="F180" s="7" t="inlineStr">
        <is>
          <t>Sơ đồ kết nối kép</t>
        </is>
      </c>
      <c r="G180" s="7" t="inlineStr"/>
      <c r="H180" s="11" t="inlineStr"/>
      <c r="I180" s="11" t="inlineStr"/>
    </row>
    <row r="181">
      <c r="A181" s="7" t="inlineStr">
        <is>
          <t>7.12</t>
        </is>
      </c>
      <c r="B181" s="7" t="inlineStr">
        <is>
          <t>Quản lý hạ tầng mạng</t>
        </is>
      </c>
      <c r="C181" s="7" t="inlineStr">
        <is>
          <t>7.12.2.2 a)</t>
        </is>
      </c>
      <c r="D181" s="7" t="inlineStr">
        <is>
          <t>Tường lửa có IPS (hoặc tương đương) kiểm soát truy cập, chống xâm nhập giữa các vùng mạng</t>
        </is>
      </c>
      <c r="E181" s="11" t="inlineStr"/>
      <c r="F181" s="7" t="inlineStr">
        <is>
          <t>Cấu hình NGFW/IPS</t>
        </is>
      </c>
      <c r="G181" s="7" t="inlineStr"/>
      <c r="H181" s="11" t="inlineStr"/>
      <c r="I181" s="11" t="inlineStr"/>
    </row>
    <row r="182">
      <c r="A182" s="7" t="inlineStr">
        <is>
          <t>7.12</t>
        </is>
      </c>
      <c r="B182" s="7" t="inlineStr">
        <is>
          <t>Quản lý hạ tầng mạng</t>
        </is>
      </c>
      <c r="C182" s="7" t="inlineStr">
        <is>
          <t>7.12.2.2 a)</t>
        </is>
      </c>
      <c r="D182" s="7" t="inlineStr">
        <is>
          <t>Tường lửa có chống mã độc trên đường mạng (hoặc tương đương)</t>
        </is>
      </c>
      <c r="E182" s="11" t="inlineStr"/>
      <c r="F182" s="7" t="inlineStr">
        <is>
          <t>Cấu hình AV gateway</t>
        </is>
      </c>
      <c r="G182" s="7" t="inlineStr"/>
      <c r="H182" s="11" t="inlineStr"/>
      <c r="I182" s="11" t="inlineStr"/>
    </row>
    <row r="183">
      <c r="A183" s="7" t="inlineStr">
        <is>
          <t>7.12</t>
        </is>
      </c>
      <c r="B183" s="7" t="inlineStr">
        <is>
          <t>Quản lý hạ tầng mạng</t>
        </is>
      </c>
      <c r="C183" s="7" t="inlineStr">
        <is>
          <t>7.12.2.2 a)</t>
        </is>
      </c>
      <c r="D183" s="7" t="inlineStr">
        <is>
          <t>Tường lửa CSDL (DBF) hoặc tương đương cho CSDL tập trung</t>
        </is>
      </c>
      <c r="E183" s="11" t="inlineStr"/>
      <c r="F183" s="7" t="inlineStr">
        <is>
          <t>Hồ sơ DBF</t>
        </is>
      </c>
      <c r="G183" s="7" t="inlineStr"/>
      <c r="H183" s="11" t="inlineStr"/>
      <c r="I183" s="11" t="inlineStr"/>
    </row>
    <row r="184">
      <c r="A184" s="7" t="inlineStr">
        <is>
          <t>7.12</t>
        </is>
      </c>
      <c r="B184" s="7" t="inlineStr">
        <is>
          <t>Quản lý hạ tầng mạng</t>
        </is>
      </c>
      <c r="C184" s="7" t="inlineStr">
        <is>
          <t>7.12.2.2 a)</t>
        </is>
      </c>
      <c r="D184" s="7" t="inlineStr">
        <is>
          <t>NAC (hoặc tương đương) kiểm soát thiết bị đầu cuối kết nối vào mạng</t>
        </is>
      </c>
      <c r="E184" s="11" t="inlineStr"/>
      <c r="F184" s="7" t="inlineStr">
        <is>
          <t>Hồ sơ NAC/802.1X</t>
        </is>
      </c>
      <c r="G184" s="7" t="inlineStr"/>
      <c r="H184" s="11" t="inlineStr"/>
      <c r="I184" s="11" t="inlineStr"/>
    </row>
    <row r="185">
      <c r="A185" s="7" t="inlineStr">
        <is>
          <t>7.12</t>
        </is>
      </c>
      <c r="B185" s="7" t="inlineStr">
        <is>
          <t>Quản lý hạ tầng mạng</t>
        </is>
      </c>
      <c r="C185" s="7" t="inlineStr">
        <is>
          <t>7.12.2.2 a)</t>
        </is>
      </c>
      <c r="D185" s="7" t="inlineStr">
        <is>
          <t>Giám sát HTTT tập trung (tài nguyên, trạng thái)</t>
        </is>
      </c>
      <c r="E185" s="11" t="inlineStr"/>
      <c r="F185" s="7" t="inlineStr">
        <is>
          <t>Hồ sơ NMS</t>
        </is>
      </c>
      <c r="G185" s="7" t="inlineStr"/>
      <c r="H185" s="11" t="inlineStr"/>
      <c r="I185" s="11" t="inlineStr"/>
    </row>
    <row r="186">
      <c r="A186" s="7" t="inlineStr">
        <is>
          <t>7.12</t>
        </is>
      </c>
      <c r="B186" s="7" t="inlineStr">
        <is>
          <t>Quản lý hạ tầng mạng</t>
        </is>
      </c>
      <c r="C186" s="7" t="inlineStr">
        <is>
          <t>7.12.2.2 a)</t>
        </is>
      </c>
      <c r="D186" s="7" t="inlineStr">
        <is>
          <t>WAF (hoặc tương đương) cho ứng dụng web (nếu có)</t>
        </is>
      </c>
      <c r="E186" s="11" t="inlineStr"/>
      <c r="F186" s="7" t="inlineStr">
        <is>
          <t>Cấu hình WAF</t>
        </is>
      </c>
      <c r="G186" s="7" t="inlineStr"/>
      <c r="H186" s="11" t="inlineStr"/>
      <c r="I186" s="11" t="inlineStr"/>
    </row>
    <row r="187">
      <c r="A187" s="7" t="inlineStr">
        <is>
          <t>7.12</t>
        </is>
      </c>
      <c r="B187" s="7" t="inlineStr">
        <is>
          <t>Quản lý hạ tầng mạng</t>
        </is>
      </c>
      <c r="C187" s="7" t="inlineStr">
        <is>
          <t>7.12.2.2 a)</t>
        </is>
      </c>
      <c r="D187" s="7" t="inlineStr">
        <is>
          <t>Chống tấn công từ chối dịch vụ (dịch vụ, sản phẩm hoặc tương đương)</t>
        </is>
      </c>
      <c r="E187" s="11" t="inlineStr"/>
      <c r="F187" s="7" t="inlineStr">
        <is>
          <t>Hợp đồng/cấu hình anti-DDoS</t>
        </is>
      </c>
      <c r="G187" s="7" t="inlineStr"/>
      <c r="H187" s="11" t="inlineStr"/>
      <c r="I187" s="11" t="inlineStr"/>
    </row>
    <row r="188">
      <c r="A188" s="7" t="inlineStr">
        <is>
          <t>7.12</t>
        </is>
      </c>
      <c r="B188" s="7" t="inlineStr">
        <is>
          <t>Quản lý hạ tầng mạng</t>
        </is>
      </c>
      <c r="C188" s="7" t="inlineStr">
        <is>
          <t>7.12.2.2 a)</t>
        </is>
      </c>
      <c r="D188" s="7" t="inlineStr">
        <is>
          <t>Cô lập vật lý hoặc data diode/cổng bảo mật một chiều, hai chiều (hoặc tương đương) giữa vùng lõi, OT và vùng tin cậy thấp</t>
        </is>
      </c>
      <c r="E188" s="11" t="inlineStr"/>
      <c r="F188" s="7" t="inlineStr">
        <is>
          <t>Sơ đồ phân vùng, hồ sơ thiết bị</t>
        </is>
      </c>
      <c r="G188" s="7" t="inlineStr">
        <is>
          <t>Mới/khác so với cấp 4</t>
        </is>
      </c>
      <c r="H188" s="11" t="inlineStr"/>
      <c r="I188" s="11" t="inlineStr"/>
    </row>
    <row r="189">
      <c r="A189" s="7" t="inlineStr">
        <is>
          <t>7.12</t>
        </is>
      </c>
      <c r="B189" s="7" t="inlineStr">
        <is>
          <t>Quản lý hạ tầng mạng</t>
        </is>
      </c>
      <c r="C189" s="7" t="inlineStr">
        <is>
          <t>7.12.2.2 a)</t>
        </is>
      </c>
      <c r="D189" s="7" t="inlineStr">
        <is>
          <t>Cập nhật định kỳ CSDL nhận diện tấn công cho các giải pháp ANM</t>
        </is>
      </c>
      <c r="E189" s="11" t="inlineStr"/>
      <c r="F189" s="7" t="inlineStr">
        <is>
          <t>Nhật ký cập nhật signature</t>
        </is>
      </c>
      <c r="G189" s="7" t="inlineStr"/>
      <c r="H189" s="11" t="inlineStr"/>
      <c r="I189" s="11" t="inlineStr"/>
    </row>
    <row r="190">
      <c r="A190" s="7" t="inlineStr">
        <is>
          <t>7.12</t>
        </is>
      </c>
      <c r="B190" s="7" t="inlineStr">
        <is>
          <t>Quản lý hạ tầng mạng</t>
        </is>
      </c>
      <c r="C190" s="7" t="inlineStr">
        <is>
          <t>7.12.2.2 a)</t>
        </is>
      </c>
      <c r="D190" s="7" t="inlineStr">
        <is>
          <t>Quản lý thay đổi; quy định việc kết nối/gỡ máy chủ, dịch vụ, thiết bị khỏi hệ thống</t>
        </is>
      </c>
      <c r="E190" s="11" t="inlineStr"/>
      <c r="F190" s="7" t="inlineStr">
        <is>
          <t>Phiếu thay đổi (change request)</t>
        </is>
      </c>
      <c r="G190" s="7" t="inlineStr"/>
      <c r="H190" s="11" t="inlineStr"/>
      <c r="I190" s="11" t="inlineStr"/>
    </row>
    <row r="191">
      <c r="A191" s="7" t="inlineStr">
        <is>
          <t>7.12</t>
        </is>
      </c>
      <c r="B191" s="7" t="inlineStr">
        <is>
          <t>Quản lý hạ tầng mạng</t>
        </is>
      </c>
      <c r="C191" s="7" t="inlineStr">
        <is>
          <t>7.12.2.2 a)</t>
        </is>
      </c>
      <c r="D191" s="7" t="inlineStr">
        <is>
          <t>Theo dõi hiệu năng (CPU, RAM…) để bảo đảm hoạt động bình thường</t>
        </is>
      </c>
      <c r="E191" s="11" t="inlineStr"/>
      <c r="F191" s="7" t="inlineStr">
        <is>
          <t>Dashboard giám sát</t>
        </is>
      </c>
      <c r="G191" s="7" t="inlineStr"/>
      <c r="H191" s="11" t="inlineStr"/>
      <c r="I191" s="11" t="inlineStr"/>
    </row>
    <row r="192">
      <c r="A192" s="7" t="inlineStr">
        <is>
          <t>7.12</t>
        </is>
      </c>
      <c r="B192" s="7" t="inlineStr">
        <is>
          <t>Quản lý hạ tầng mạng</t>
        </is>
      </c>
      <c r="C192" s="7" t="inlineStr">
        <is>
          <t>7.12.2.2 b)</t>
        </is>
      </c>
      <c r="D192" s="7" t="inlineStr">
        <is>
          <t>Phân vùng tối thiểu: như cấp 3 + WAN (nếu có) + vùng quản trị thiết bị hệ thống</t>
        </is>
      </c>
      <c r="E192" s="11" t="inlineStr"/>
      <c r="F192" s="7" t="inlineStr">
        <is>
          <t>Sơ đồ phân vùng, ACL giữa vùng</t>
        </is>
      </c>
      <c r="G192" s="7" t="inlineStr"/>
      <c r="H192" s="11" t="inlineStr"/>
      <c r="I192" s="11" t="inlineStr"/>
    </row>
    <row r="193">
      <c r="A193" s="7" t="inlineStr">
        <is>
          <t>7.12</t>
        </is>
      </c>
      <c r="B193" s="7" t="inlineStr">
        <is>
          <t>Quản lý hạ tầng mạng</t>
        </is>
      </c>
      <c r="C193" s="7" t="inlineStr">
        <is>
          <t>7.12.2.3</t>
        </is>
      </c>
      <c r="D193" s="7" t="inlineStr">
        <is>
          <t>Có giải pháp quản lý xác thực, cấp quyền và kiểm toán truy cập HTTT (AAA)</t>
        </is>
      </c>
      <c r="E193" s="11" t="inlineStr"/>
      <c r="F193" s="7" t="inlineStr">
        <is>
          <t>Hồ sơ AAA/TACACS+/RADIUS</t>
        </is>
      </c>
      <c r="G193" s="7" t="inlineStr">
        <is>
          <t>Mới/khác so với cấp 4</t>
        </is>
      </c>
      <c r="H193" s="11" t="inlineStr"/>
      <c r="I193" s="11" t="inlineStr"/>
    </row>
    <row r="194">
      <c r="A194" s="7" t="inlineStr">
        <is>
          <t>7.12</t>
        </is>
      </c>
      <c r="B194" s="7" t="inlineStr">
        <is>
          <t>Quản lý hạ tầng mạng</t>
        </is>
      </c>
      <c r="C194" s="7" t="inlineStr">
        <is>
          <t>7.12.2.4</t>
        </is>
      </c>
      <c r="D194" s="7" t="inlineStr">
        <is>
          <t>Chỉ dùng giao thức truyền thông, quản trị an toàn, chưa bị công bố điểm yếu</t>
        </is>
      </c>
      <c r="E194" s="11" t="inlineStr"/>
      <c r="F194" s="7" t="inlineStr">
        <is>
          <t>Kết quả quét giao thức yếu</t>
        </is>
      </c>
      <c r="G194" s="7" t="inlineStr"/>
      <c r="H194" s="11" t="inlineStr"/>
      <c r="I194" s="11" t="inlineStr"/>
    </row>
    <row r="195">
      <c r="A195" s="7" t="inlineStr">
        <is>
          <t>7.12</t>
        </is>
      </c>
      <c r="B195" s="7" t="inlineStr">
        <is>
          <t>Quản lý hạ tầng mạng</t>
        </is>
      </c>
      <c r="C195" s="7" t="inlineStr">
        <is>
          <t>7.12.2.5 a)</t>
        </is>
      </c>
      <c r="D195" s="7" t="inlineStr">
        <is>
          <t>Chỉ cho phép kết nối an toàn khi truy cập nội bộ hoặc quản trị từ xa</t>
        </is>
      </c>
      <c r="E195" s="11" t="inlineStr"/>
      <c r="F195" s="7" t="inlineStr">
        <is>
          <t>Cấu hình SSH/TLS, tắt Telnet/HTTP</t>
        </is>
      </c>
      <c r="G195" s="7" t="inlineStr"/>
      <c r="H195" s="11" t="inlineStr"/>
      <c r="I195" s="11" t="inlineStr"/>
    </row>
    <row r="196">
      <c r="A196" s="7" t="inlineStr">
        <is>
          <t>7.12</t>
        </is>
      </c>
      <c r="B196" s="7" t="inlineStr">
        <is>
          <t>Quản lý hạ tầng mạng</t>
        </is>
      </c>
      <c r="C196" s="7" t="inlineStr">
        <is>
          <t>7.12.2.5 b)</t>
        </is>
      </c>
      <c r="D196" s="7" t="inlineStr">
        <is>
          <t>Thiết bị phải yêu cầu đăng nhập khi quản trị tại chỗ cũng như từ xa</t>
        </is>
      </c>
      <c r="E196" s="11" t="inlineStr"/>
      <c r="F196" s="7" t="inlineStr">
        <is>
          <t>Cấu hình xác thực thiết bị</t>
        </is>
      </c>
      <c r="G196" s="7" t="inlineStr"/>
      <c r="H196" s="11" t="inlineStr"/>
      <c r="I196" s="11" t="inlineStr"/>
    </row>
    <row r="197">
      <c r="A197" s="7" t="inlineStr">
        <is>
          <t>7.12</t>
        </is>
      </c>
      <c r="B197" s="7" t="inlineStr">
        <is>
          <t>Quản lý hạ tầng mạng</t>
        </is>
      </c>
      <c r="C197" s="7" t="inlineStr">
        <is>
          <t>7.12.2.5 c)</t>
        </is>
      </c>
      <c r="D197" s="7" t="inlineStr">
        <is>
          <t>Kiểm soát truy cập cả chiều vào và chiều ra theo từng dịch vụ; chặn mọi truy cập không được phép</t>
        </is>
      </c>
      <c r="E197" s="11" t="inlineStr"/>
      <c r="F197" s="7" t="inlineStr">
        <is>
          <t>Rule firewall</t>
        </is>
      </c>
      <c r="G197" s="7" t="inlineStr"/>
      <c r="H197" s="11" t="inlineStr"/>
      <c r="I197" s="11" t="inlineStr"/>
    </row>
    <row r="198">
      <c r="A198" s="7" t="inlineStr">
        <is>
          <t>7.12</t>
        </is>
      </c>
      <c r="B198" s="7" t="inlineStr">
        <is>
          <t>Quản lý hạ tầng mạng</t>
        </is>
      </c>
      <c r="C198" s="7" t="inlineStr">
        <is>
          <t>7.12.2.5 d)</t>
        </is>
      </c>
      <c r="D198" s="7" t="inlineStr">
        <is>
          <t>Đặt timeout tự đóng phiên kết nối không hoạt động</t>
        </is>
      </c>
      <c r="E198" s="11" t="inlineStr"/>
      <c r="F198" s="7" t="inlineStr">
        <is>
          <t>Cấu hình timeout</t>
        </is>
      </c>
      <c r="G198" s="7" t="inlineStr"/>
      <c r="H198" s="11" t="inlineStr"/>
      <c r="I198" s="11" t="inlineStr"/>
    </row>
    <row r="199">
      <c r="A199" s="7" t="inlineStr">
        <is>
          <t>7.12</t>
        </is>
      </c>
      <c r="B199" s="7" t="inlineStr">
        <is>
          <t>Quản lý hạ tầng mạng</t>
        </is>
      </c>
      <c r="C199" s="7" t="inlineStr">
        <is>
          <t>7.12.2.5 e)</t>
        </is>
      </c>
      <c r="D199" s="7" t="inlineStr">
        <is>
          <t>Kiểm soát truy cập của người dùng vào dịch vụ, máy chủ nội bộ theo chính sách</t>
        </is>
      </c>
      <c r="E199" s="11" t="inlineStr"/>
      <c r="F199" s="7" t="inlineStr">
        <is>
          <t>Chính sách truy cập</t>
        </is>
      </c>
      <c r="G199" s="7" t="inlineStr"/>
      <c r="H199" s="11" t="inlineStr"/>
      <c r="I199" s="11" t="inlineStr"/>
    </row>
    <row r="200">
      <c r="A200" s="7" t="inlineStr">
        <is>
          <t>7.12</t>
        </is>
      </c>
      <c r="B200" s="7" t="inlineStr">
        <is>
          <t>Quản lý hạ tầng mạng</t>
        </is>
      </c>
      <c r="C200" s="7" t="inlineStr">
        <is>
          <t>7.12.2.5 f)</t>
        </is>
      </c>
      <c r="D200" s="7" t="inlineStr">
        <is>
          <t>Có phương án ưu tiên, bảo đảm chất lượng dịch vụ (QoS)</t>
        </is>
      </c>
      <c r="E200" s="11" t="inlineStr"/>
      <c r="F200" s="7" t="inlineStr">
        <is>
          <t>Cấu hình QoS</t>
        </is>
      </c>
      <c r="G200" s="7" t="inlineStr">
        <is>
          <t>Mới/khác so với cấp 4</t>
        </is>
      </c>
      <c r="H200" s="11" t="inlineStr"/>
      <c r="I200" s="11" t="inlineStr"/>
    </row>
    <row r="201">
      <c r="A201" s="7" t="inlineStr">
        <is>
          <t>7.12</t>
        </is>
      </c>
      <c r="B201" s="7" t="inlineStr">
        <is>
          <t>Quản lý hạ tầng mạng</t>
        </is>
      </c>
      <c r="C201" s="7" t="inlineStr">
        <is>
          <t>7.12.2.5 g)</t>
        </is>
      </c>
      <c r="D201" s="7" t="inlineStr">
        <is>
          <t>Giới hạn số kết nối đồng thời theo nguồn và theo dịch vụ (linh hoạt nếu có biện pháp tương đương)</t>
        </is>
      </c>
      <c r="E201" s="11" t="inlineStr"/>
      <c r="F201" s="7" t="inlineStr">
        <is>
          <t>Cấu hình rate/conn limit</t>
        </is>
      </c>
      <c r="G201" s="7" t="inlineStr"/>
      <c r="H201" s="11" t="inlineStr"/>
      <c r="I201" s="11" t="inlineStr"/>
    </row>
    <row r="202">
      <c r="A202" s="7" t="inlineStr">
        <is>
          <t>7.12</t>
        </is>
      </c>
      <c r="B202" s="7" t="inlineStr">
        <is>
          <t>Quản lý hạ tầng mạng</t>
        </is>
      </c>
      <c r="C202" s="7" t="inlineStr">
        <is>
          <t>7.12.2.5 h)</t>
        </is>
      </c>
      <c r="D202" s="7" t="inlineStr">
        <is>
          <t>Chặn hoặc hạn chế máy chủ truy cập ra mạng ngoài theo chức năng</t>
        </is>
      </c>
      <c r="E202" s="11" t="inlineStr"/>
      <c r="F202" s="7" t="inlineStr">
        <is>
          <t>Rule egress</t>
        </is>
      </c>
      <c r="G202" s="7" t="inlineStr"/>
      <c r="H202" s="11" t="inlineStr"/>
      <c r="I202" s="11" t="inlineStr"/>
    </row>
    <row r="203">
      <c r="A203" s="7" t="inlineStr">
        <is>
          <t>7.12</t>
        </is>
      </c>
      <c r="B203" s="7" t="inlineStr">
        <is>
          <t>Quản lý hạ tầng mạng</t>
        </is>
      </c>
      <c r="C203" s="7" t="inlineStr">
        <is>
          <t>7.12.2.6</t>
        </is>
      </c>
      <c r="D203" s="7" t="inlineStr">
        <is>
          <t>Truy cập từ xa của quản trị viên, người dùng tác nghiệp qua VPN, ZTNA (hoặc tương đương) có xác thực</t>
        </is>
      </c>
      <c r="E203" s="11" t="inlineStr"/>
      <c r="F203" s="7" t="inlineStr">
        <is>
          <t>Cấu hình VPN/ZTNA</t>
        </is>
      </c>
      <c r="G203" s="7" t="inlineStr"/>
      <c r="H203" s="11" t="inlineStr"/>
      <c r="I203" s="11" t="inlineStr"/>
    </row>
    <row r="204">
      <c r="A204" s="7" t="inlineStr">
        <is>
          <t>7.12</t>
        </is>
      </c>
      <c r="B204" s="7" t="inlineStr">
        <is>
          <t>Quản lý hạ tầng mạng</t>
        </is>
      </c>
      <c r="C204" s="7" t="inlineStr">
        <is>
          <t>7.12.2.6</t>
        </is>
      </c>
      <c r="D204" s="7" t="inlineStr">
        <is>
          <t>Kết nối từ xa phải xác thực MFA và xác thực bổ sung trước khi vào hệ thống</t>
        </is>
      </c>
      <c r="E204" s="11" t="inlineStr"/>
      <c r="F204" s="7" t="inlineStr">
        <is>
          <t>Cấu hình MFA VPN</t>
        </is>
      </c>
      <c r="G204" s="7" t="inlineStr"/>
      <c r="H204" s="11" t="inlineStr"/>
      <c r="I204" s="11" t="inlineStr"/>
    </row>
    <row r="205">
      <c r="A205" s="7" t="inlineStr">
        <is>
          <t>7.12</t>
        </is>
      </c>
      <c r="B205" s="7" t="inlineStr">
        <is>
          <t>Quản lý hạ tầng mạng</t>
        </is>
      </c>
      <c r="C205" s="7" t="inlineStr">
        <is>
          <t>7.12.2.6</t>
        </is>
      </c>
      <c r="D205" s="7" t="inlineStr">
        <is>
          <t>Thiết bị truy cập từ xa phải có chống mã độc và cấu hình theo chính sách của tổ chức</t>
        </is>
      </c>
      <c r="E205" s="11" t="inlineStr"/>
      <c r="F205" s="7" t="inlineStr">
        <is>
          <t>Chính sách posture check</t>
        </is>
      </c>
      <c r="G205" s="7" t="inlineStr"/>
      <c r="H205" s="11" t="inlineStr"/>
      <c r="I205" s="11" t="inlineStr"/>
    </row>
    <row r="206">
      <c r="A206" s="7" t="inlineStr">
        <is>
          <t>7.12</t>
        </is>
      </c>
      <c r="B206" s="7" t="inlineStr">
        <is>
          <t>Quản lý hạ tầng mạng</t>
        </is>
      </c>
      <c r="C206" s="7" t="inlineStr">
        <is>
          <t>7.12.2.6</t>
        </is>
      </c>
      <c r="D206" s="7" t="inlineStr">
        <is>
          <t>Giới hạn dải địa chỉ/thiết bị được phép quản trị từ xa</t>
        </is>
      </c>
      <c r="E206" s="11" t="inlineStr"/>
      <c r="F206" s="7" t="inlineStr">
        <is>
          <t>ACL quản trị</t>
        </is>
      </c>
      <c r="G206" s="7" t="inlineStr"/>
      <c r="H206" s="11" t="inlineStr"/>
      <c r="I206" s="11" t="inlineStr"/>
    </row>
    <row r="207">
      <c r="A207" s="7" t="inlineStr">
        <is>
          <t>7.12</t>
        </is>
      </c>
      <c r="B207" s="7" t="inlineStr">
        <is>
          <t>Quản lý hạ tầng mạng</t>
        </is>
      </c>
      <c r="C207" s="7" t="inlineStr">
        <is>
          <t>7.12.2.6</t>
        </is>
      </c>
      <c r="D207" s="7" t="inlineStr">
        <is>
          <t>Cấm quản trị trực tiếp từ mạng ngoài; bắt buộc qua máy quản trị nội bộ (jump host) bằng kết nối an toàn</t>
        </is>
      </c>
      <c r="E207" s="11" t="inlineStr"/>
      <c r="F207" s="7" t="inlineStr">
        <is>
          <t>Sơ đồ jump host</t>
        </is>
      </c>
      <c r="G207" s="7" t="inlineStr"/>
      <c r="H207" s="11" t="inlineStr"/>
      <c r="I207" s="11" t="inlineStr"/>
    </row>
    <row r="208">
      <c r="A208" s="7" t="inlineStr">
        <is>
          <t>7.12</t>
        </is>
      </c>
      <c r="B208" s="7" t="inlineStr">
        <is>
          <t>Quản lý hạ tầng mạng</t>
        </is>
      </c>
      <c r="C208" s="7" t="inlineStr">
        <is>
          <t>7.12.2.7</t>
        </is>
      </c>
      <c r="D208" s="7" t="inlineStr">
        <is>
          <t>Tài nguyên dành riêng cho quản trị, tách vật lý/logic khỏi mạng chính, không nối Internet</t>
        </is>
      </c>
      <c r="E208" s="11" t="inlineStr"/>
      <c r="F208" s="7" t="inlineStr">
        <is>
          <t>Sơ đồ mạng quản trị (OOB)</t>
        </is>
      </c>
      <c r="G208" s="7" t="inlineStr"/>
      <c r="H208" s="11" t="inlineStr"/>
      <c r="I208" s="11" t="inlineStr"/>
    </row>
    <row r="209">
      <c r="A209" s="7" t="inlineStr">
        <is>
          <t>7.12</t>
        </is>
      </c>
      <c r="B209" s="7" t="inlineStr">
        <is>
          <t>Quản lý hạ tầng mạng</t>
        </is>
      </c>
      <c r="C209" s="7" t="inlineStr">
        <is>
          <t>7.12.2.8 a)</t>
        </is>
      </c>
      <c r="D209" s="7" t="inlineStr">
        <is>
          <t>Thử nghiệm, nghiệm thu trước khi bàn giao và đưa vào sử dụng</t>
        </is>
      </c>
      <c r="E209" s="11" t="inlineStr"/>
      <c r="F209" s="7" t="inlineStr">
        <is>
          <t>Hồ sơ nghiệm thu</t>
        </is>
      </c>
      <c r="G209" s="7" t="inlineStr"/>
      <c r="H209" s="11" t="inlineStr"/>
      <c r="I209" s="11" t="inlineStr"/>
    </row>
    <row r="210">
      <c r="A210" s="7" t="inlineStr">
        <is>
          <t>7.12</t>
        </is>
      </c>
      <c r="B210" s="7" t="inlineStr">
        <is>
          <t>Quản lý hạ tầng mạng</t>
        </is>
      </c>
      <c r="C210" s="7" t="inlineStr">
        <is>
          <t>7.12.2.8 b)</t>
        </is>
      </c>
      <c r="D210" s="7" t="inlineStr">
        <is>
          <t>Lập kế hoạch và quy trình kiểm thử, nghiệm thu (nêu rõ nội dung cần thử)</t>
        </is>
      </c>
      <c r="E210" s="11" t="inlineStr"/>
      <c r="F210" s="7" t="inlineStr">
        <is>
          <t>Kế hoạch thử nghiệm</t>
        </is>
      </c>
      <c r="G210" s="7" t="inlineStr"/>
      <c r="H210" s="11" t="inlineStr"/>
      <c r="I210" s="11" t="inlineStr"/>
    </row>
    <row r="211">
      <c r="A211" s="7" t="inlineStr">
        <is>
          <t>7.12</t>
        </is>
      </c>
      <c r="B211" s="7" t="inlineStr">
        <is>
          <t>Quản lý hạ tầng mạng</t>
        </is>
      </c>
      <c r="C211" s="7" t="inlineStr">
        <is>
          <t>7.12.2.8 c)</t>
        </is>
      </c>
      <c r="D211" s="7" t="inlineStr">
        <is>
          <t>Đơn vị/bộ phận độc lập tư vấn, giám sát quá trình thử nghiệm, nghiệm thu</t>
        </is>
      </c>
      <c r="E211" s="11" t="inlineStr"/>
      <c r="F211" s="7" t="inlineStr">
        <is>
          <t>Hợp đồng/quyết định giám sát độc lập</t>
        </is>
      </c>
      <c r="G211" s="7" t="inlineStr"/>
      <c r="H211" s="11" t="inlineStr"/>
      <c r="I211" s="11" t="inlineStr"/>
    </row>
    <row r="212">
      <c r="A212" s="7" t="inlineStr">
        <is>
          <t>7.12</t>
        </is>
      </c>
      <c r="B212" s="7" t="inlineStr">
        <is>
          <t>Quản lý hạ tầng mạng</t>
        </is>
      </c>
      <c r="C212" s="7" t="inlineStr">
        <is>
          <t>7.12.2.8 d)</t>
        </is>
      </c>
      <c r="D212" s="7" t="inlineStr">
        <is>
          <t>Kiểm thử hệ thống trước khi đưa vào vận hành</t>
        </is>
      </c>
      <c r="E212" s="11" t="inlineStr"/>
      <c r="F212" s="7" t="inlineStr">
        <is>
          <t>Báo cáo kiểm thử</t>
        </is>
      </c>
      <c r="G212" s="7" t="inlineStr"/>
      <c r="H212" s="11" t="inlineStr"/>
      <c r="I212" s="11" t="inlineStr"/>
    </row>
    <row r="213">
      <c r="A213" s="7" t="inlineStr">
        <is>
          <t>7.12</t>
        </is>
      </c>
      <c r="B213" s="7" t="inlineStr">
        <is>
          <t>Quản lý hạ tầng mạng</t>
        </is>
      </c>
      <c r="C213" s="7" t="inlineStr">
        <is>
          <t>7.12.2.8 e)</t>
        </is>
      </c>
      <c r="D213" s="7" t="inlineStr">
        <is>
          <t>Biên bản nghiệm thu được bộ phận chuyên trách xác nhận, chủ quản phê duyệt rồi mới đưa vào dùng</t>
        </is>
      </c>
      <c r="E213" s="11" t="inlineStr"/>
      <c r="F213" s="7" t="inlineStr">
        <is>
          <t>Báo cáo nghiệm thu đã phê duyệt</t>
        </is>
      </c>
      <c r="G213" s="7" t="inlineStr"/>
      <c r="H213" s="11" t="inlineStr"/>
      <c r="I213" s="11" t="inlineStr"/>
    </row>
    <row r="214">
      <c r="A214" s="7" t="inlineStr">
        <is>
          <t>7.13</t>
        </is>
      </c>
      <c r="B214" s="7" t="inlineStr">
        <is>
          <t>Giám sát và phòng thủ an ninh mạng</t>
        </is>
      </c>
      <c r="C214" s="7" t="inlineStr">
        <is>
          <t>7.13.2.1 a)</t>
        </is>
      </c>
      <c r="D214" s="7" t="inlineStr">
        <is>
          <t>Giám sát ANM tối thiểu với thiết bị hệ thống, máy chủ, ứng dụng, dịch vụ</t>
        </is>
      </c>
      <c r="E214" s="11" t="inlineStr"/>
      <c r="F214" s="7" t="inlineStr">
        <is>
          <t>Danh sách đối tượng giám sát</t>
        </is>
      </c>
      <c r="G214" s="7" t="inlineStr"/>
      <c r="H214" s="11" t="inlineStr"/>
      <c r="I214" s="11" t="inlineStr"/>
    </row>
    <row r="215">
      <c r="A215" s="7" t="inlineStr">
        <is>
          <t>7.13</t>
        </is>
      </c>
      <c r="B215" s="7" t="inlineStr">
        <is>
          <t>Giám sát và phòng thủ an ninh mạng</t>
        </is>
      </c>
      <c r="C215" s="7" t="inlineStr">
        <is>
          <t>7.13.2.1 b)</t>
        </is>
      </c>
      <c r="D215" s="7" t="inlineStr">
        <is>
          <t>SIEM tương quan sự kiện, phân tích theo hướng dẫn của cơ quan có thẩm quyền</t>
        </is>
      </c>
      <c r="E215" s="11" t="inlineStr"/>
      <c r="F215" s="7" t="inlineStr">
        <is>
          <t>Use case/rule SIEM</t>
        </is>
      </c>
      <c r="G215" s="7" t="inlineStr"/>
      <c r="H215" s="11" t="inlineStr"/>
      <c r="I215" s="11" t="inlineStr"/>
    </row>
    <row r="216">
      <c r="A216" s="7" t="inlineStr">
        <is>
          <t>7.13</t>
        </is>
      </c>
      <c r="B216" s="7" t="inlineStr">
        <is>
          <t>Giám sát và phòng thủ an ninh mạng</t>
        </is>
      </c>
      <c r="C216" s="7" t="inlineStr">
        <is>
          <t>7.13.2.1 c)</t>
        </is>
      </c>
      <c r="D216" s="7" t="inlineStr">
        <is>
          <t>Bố trí nguồn lực giám sát ANM 24/7</t>
        </is>
      </c>
      <c r="E216" s="11" t="inlineStr"/>
      <c r="F216" s="7" t="inlineStr">
        <is>
          <t>Lịch trực, hợp đồng SOC</t>
        </is>
      </c>
      <c r="G216" s="7" t="inlineStr"/>
      <c r="H216" s="11" t="inlineStr"/>
      <c r="I216" s="11" t="inlineStr"/>
    </row>
    <row r="217">
      <c r="A217" s="7" t="inlineStr">
        <is>
          <t>7.13</t>
        </is>
      </c>
      <c r="B217" s="7" t="inlineStr">
        <is>
          <t>Giám sát và phòng thủ an ninh mạng</t>
        </is>
      </c>
      <c r="C217" s="7" t="inlineStr">
        <is>
          <t>7.13.2.2</t>
        </is>
      </c>
      <c r="D217" s="7" t="inlineStr">
        <is>
          <t>Bật tường lửa, phát hiện/ngăn chặn xâm nhập của HĐH và hệ thống (nếu có)</t>
        </is>
      </c>
      <c r="E217" s="11" t="inlineStr"/>
      <c r="F217" s="7" t="inlineStr">
        <is>
          <t>Cấu hình host firewall/HIPS</t>
        </is>
      </c>
      <c r="G217" s="7" t="inlineStr"/>
      <c r="H217" s="11" t="inlineStr"/>
      <c r="I217" s="11" t="inlineStr"/>
    </row>
    <row r="218">
      <c r="A218" s="7" t="inlineStr">
        <is>
          <t>7.13</t>
        </is>
      </c>
      <c r="B218" s="7" t="inlineStr">
        <is>
          <t>Giám sát và phòng thủ an ninh mạng</t>
        </is>
      </c>
      <c r="C218" s="7" t="inlineStr">
        <is>
          <t>7.13.2.3</t>
        </is>
      </c>
      <c r="D218" s="7" t="inlineStr">
        <is>
          <t>Thiết bị chuyên dụng: lọc gói giữa phân đoạn, lọc tầng ứng dụng, phát hiện/ngăn chặn xâm nhập</t>
        </is>
      </c>
      <c r="E218" s="11" t="inlineStr"/>
      <c r="F218" s="7" t="inlineStr">
        <is>
          <t>Hồ sơ thiết bị</t>
        </is>
      </c>
      <c r="G218" s="7" t="inlineStr">
        <is>
          <t>Mới/khác so với cấp 4</t>
        </is>
      </c>
      <c r="H218" s="11" t="inlineStr"/>
      <c r="I218" s="11" t="inlineStr"/>
    </row>
    <row r="219">
      <c r="A219" s="7" t="inlineStr">
        <is>
          <t>7.13</t>
        </is>
      </c>
      <c r="B219" s="7" t="inlineStr">
        <is>
          <t>Giám sát và phòng thủ an ninh mạng</t>
        </is>
      </c>
      <c r="C219" s="7" t="inlineStr">
        <is>
          <t>7.13.2.4 a)</t>
        </is>
      </c>
      <c r="D219" s="7" t="inlineStr">
        <is>
          <t>Kiểm soát truy cập cổng kết nối trên thiết bị mạng (nếu hỗ trợ)</t>
        </is>
      </c>
      <c r="E219" s="11" t="inlineStr"/>
      <c r="F219" s="7" t="inlineStr">
        <is>
          <t>Cấu hình port security</t>
        </is>
      </c>
      <c r="G219" s="7" t="inlineStr"/>
      <c r="H219" s="11" t="inlineStr"/>
      <c r="I219" s="11" t="inlineStr"/>
    </row>
    <row r="220">
      <c r="A220" s="7" t="inlineStr">
        <is>
          <t>7.13</t>
        </is>
      </c>
      <c r="B220" s="7" t="inlineStr">
        <is>
          <t>Giám sát và phòng thủ an ninh mạng</t>
        </is>
      </c>
      <c r="C220" s="7" t="inlineStr">
        <is>
          <t>7.13.2.4 b)</t>
        </is>
      </c>
      <c r="D220" s="7" t="inlineStr">
        <is>
          <t>Tách cổng quản trị ứng dụng khỏi cổng cung cấp dịch vụ</t>
        </is>
      </c>
      <c r="E220" s="11" t="inlineStr"/>
      <c r="F220" s="7" t="inlineStr">
        <is>
          <t>Cấu hình cổng</t>
        </is>
      </c>
      <c r="G220" s="7" t="inlineStr"/>
      <c r="H220" s="11" t="inlineStr"/>
      <c r="I220" s="11" t="inlineStr"/>
    </row>
    <row r="221">
      <c r="A221" s="7" t="inlineStr">
        <is>
          <t>7.13</t>
        </is>
      </c>
      <c r="B221" s="7" t="inlineStr">
        <is>
          <t>Giám sát và phòng thủ an ninh mạng</t>
        </is>
      </c>
      <c r="C221" s="7" t="inlineStr">
        <is>
          <t>7.13.2.5</t>
        </is>
      </c>
      <c r="D221" s="7" t="inlineStr">
        <is>
          <t>Thu thập flow/lưu lượng mạng để rà soát, cảnh báo</t>
        </is>
      </c>
      <c r="E221" s="11" t="inlineStr"/>
      <c r="F221" s="7" t="inlineStr">
        <is>
          <t>Cấu hình NetFlow/NDR</t>
        </is>
      </c>
      <c r="G221" s="7" t="inlineStr"/>
      <c r="H221" s="11" t="inlineStr"/>
      <c r="I221" s="11" t="inlineStr"/>
    </row>
    <row r="222">
      <c r="A222" s="7" t="inlineStr">
        <is>
          <t>7.13</t>
        </is>
      </c>
      <c r="B222" s="7" t="inlineStr">
        <is>
          <t>Giám sát và phòng thủ an ninh mạng</t>
        </is>
      </c>
      <c r="C222" s="7" t="inlineStr">
        <is>
          <t>7.13.2.6</t>
        </is>
      </c>
      <c r="D222" s="7" t="inlineStr">
        <is>
          <t>Tinh chỉnh ngưỡng cảnh báo ≥ 1 lần/tháng</t>
        </is>
      </c>
      <c r="E222" s="11" t="inlineStr"/>
      <c r="F222" s="7" t="inlineStr">
        <is>
          <t>Nhật ký tinh chỉnh rule</t>
        </is>
      </c>
      <c r="G222" s="7" t="inlineStr">
        <is>
          <t>Mới/khác so với cấp 4</t>
        </is>
      </c>
      <c r="H222" s="11" t="inlineStr"/>
      <c r="I222" s="11" t="inlineStr"/>
    </row>
    <row r="223">
      <c r="A223" s="7" t="inlineStr">
        <is>
          <t>7.14</t>
        </is>
      </c>
      <c r="B223" s="7" t="inlineStr">
        <is>
          <t>Nhân sự vận hành, quản trị, bảo vệ an ninh mạng</t>
        </is>
      </c>
      <c r="C223" s="7" t="inlineStr">
        <is>
          <t>7.14.1 c)</t>
        </is>
      </c>
      <c r="D223" s="7" t="inlineStr">
        <is>
          <t>Trình độ chuyên môn phù hợp với từng bộ phận</t>
        </is>
      </c>
      <c r="E223" s="11" t="inlineStr"/>
      <c r="F223" s="7" t="inlineStr">
        <is>
          <t>Hồ sơ năng lực</t>
        </is>
      </c>
      <c r="G223" s="7" t="inlineStr"/>
      <c r="H223" s="11" t="inlineStr"/>
      <c r="I223" s="11" t="inlineStr"/>
    </row>
    <row r="224">
      <c r="A224" s="7" t="inlineStr">
        <is>
          <t>7.14</t>
        </is>
      </c>
      <c r="B224" s="7" t="inlineStr">
        <is>
          <t>Nhân sự vận hành, quản trị, bảo vệ an ninh mạng</t>
        </is>
      </c>
      <c r="C224" s="7" t="inlineStr">
        <is>
          <t>7.14.2.1 a)</t>
        </is>
      </c>
      <c r="D224" s="7" t="inlineStr">
        <is>
          <t>Thành lập bộ phận riêng cho vận hành, quản trị hệ thống và bảo vệ ANM</t>
        </is>
      </c>
      <c r="E224" s="11" t="inlineStr"/>
      <c r="F224" s="7" t="inlineStr">
        <is>
          <t>Quyết định thành lập, sơ đồ tổ chức</t>
        </is>
      </c>
      <c r="G224" s="7" t="inlineStr"/>
      <c r="H224" s="11" t="inlineStr"/>
      <c r="I224" s="11" t="inlineStr"/>
    </row>
    <row r="225">
      <c r="A225" s="7" t="inlineStr">
        <is>
          <t>7.14</t>
        </is>
      </c>
      <c r="B225" s="7" t="inlineStr">
        <is>
          <t>Nhân sự vận hành, quản trị, bảo vệ an ninh mạng</t>
        </is>
      </c>
      <c r="C225" s="7" t="inlineStr">
        <is>
          <t>7.14.2.1 b)</t>
        </is>
      </c>
      <c r="D225" s="7" t="inlineStr">
        <is>
          <t>Các bộ phận vận hành, quản trị, bảo vệ ANM độc lập về chuyên môn</t>
        </is>
      </c>
      <c r="E225" s="11" t="inlineStr"/>
      <c r="F225" s="7" t="inlineStr">
        <is>
          <t>Quy chế phân định nhiệm vụ</t>
        </is>
      </c>
      <c r="G225" s="7" t="inlineStr"/>
      <c r="H225" s="11" t="inlineStr"/>
      <c r="I225" s="11" t="inlineStr"/>
    </row>
    <row r="226">
      <c r="A226" s="7" t="inlineStr">
        <is>
          <t>7.14</t>
        </is>
      </c>
      <c r="B226" s="7" t="inlineStr">
        <is>
          <t>Nhân sự vận hành, quản trị, bảo vệ an ninh mạng</t>
        </is>
      </c>
      <c r="C226" s="7" t="inlineStr">
        <is>
          <t>7.14.2.2 a)</t>
        </is>
      </c>
      <c r="D226" s="7" t="inlineStr">
        <is>
          <t>Chương trình nâng cao nhận thức ANM cho mọi người dùng HTTT</t>
        </is>
      </c>
      <c r="E226" s="11" t="inlineStr"/>
      <c r="F226" s="7" t="inlineStr">
        <is>
          <t>Tài liệu, danh sách tham dự</t>
        </is>
      </c>
      <c r="G226" s="7" t="inlineStr"/>
      <c r="H226" s="11" t="inlineStr"/>
      <c r="I226" s="11" t="inlineStr"/>
    </row>
    <row r="227">
      <c r="A227" s="7" t="inlineStr">
        <is>
          <t>7.14</t>
        </is>
      </c>
      <c r="B227" s="7" t="inlineStr">
        <is>
          <t>Nhân sự vận hành, quản trị, bảo vệ an ninh mạng</t>
        </is>
      </c>
      <c r="C227" s="7" t="inlineStr">
        <is>
          <t>7.14.2.2 b)</t>
        </is>
      </c>
      <c r="D227" s="7" t="inlineStr">
        <is>
          <t>Thu hồi thẻ, dữ liệu, thiết bị, tài sản khi nghỉ hoặc chuyển việc</t>
        </is>
      </c>
      <c r="E227" s="11" t="inlineStr"/>
      <c r="F227" s="7" t="inlineStr">
        <is>
          <t>Biên bản bàn giao</t>
        </is>
      </c>
      <c r="G227" s="7" t="inlineStr"/>
      <c r="H227" s="11" t="inlineStr"/>
      <c r="I227" s="11" t="inlineStr"/>
    </row>
    <row r="228">
      <c r="A228" s="7" t="inlineStr">
        <is>
          <t>7.14</t>
        </is>
      </c>
      <c r="B228" s="7" t="inlineStr">
        <is>
          <t>Nhân sự vận hành, quản trị, bảo vệ an ninh mạng</t>
        </is>
      </c>
      <c r="C228" s="7" t="inlineStr">
        <is>
          <t>7.14.2.2 c)</t>
        </is>
      </c>
      <c r="D228" s="7" t="inlineStr">
        <is>
          <t>Quy trình vô hiệu hóa mọi quyền ra vào, truy cập, quản trị khi thôi việc</t>
        </is>
      </c>
      <c r="E228" s="11" t="inlineStr"/>
      <c r="F228" s="7" t="inlineStr">
        <is>
          <t>Quy trình offboarding, log vô hiệu</t>
        </is>
      </c>
      <c r="G228" s="7" t="inlineStr"/>
      <c r="H228" s="11" t="inlineStr"/>
      <c r="I228" s="11" t="inlineStr"/>
    </row>
    <row r="229">
      <c r="A229" s="7" t="inlineStr">
        <is>
          <t>7.14</t>
        </is>
      </c>
      <c r="B229" s="7" t="inlineStr">
        <is>
          <t>Nhân sự vận hành, quản trị, bảo vệ an ninh mạng</t>
        </is>
      </c>
      <c r="C229" s="7" t="inlineStr">
        <is>
          <t>7.14.2.2 d)</t>
        </is>
      </c>
      <c r="D229" s="7" t="inlineStr">
        <is>
          <t>Cam kết giữ bí mật thông tin của tổ chức sau khi nghỉ việc</t>
        </is>
      </c>
      <c r="E229" s="11" t="inlineStr"/>
      <c r="F229" s="7" t="inlineStr">
        <is>
          <t>Cam kết đã ký</t>
        </is>
      </c>
      <c r="G229" s="7" t="inlineStr"/>
      <c r="H229" s="11" t="inlineStr"/>
      <c r="I229" s="11" t="inlineStr"/>
    </row>
    <row r="230">
      <c r="A230" s="7" t="inlineStr">
        <is>
          <t>7.14</t>
        </is>
      </c>
      <c r="B230" s="7" t="inlineStr">
        <is>
          <t>Nhân sự vận hành, quản trị, bảo vệ an ninh mạng</t>
        </is>
      </c>
      <c r="C230" s="7" t="inlineStr">
        <is>
          <t>7.14.2.2 e)</t>
        </is>
      </c>
      <c r="D230" s="7" t="inlineStr">
        <is>
          <t>Đào tạo nhận thức ≥ 1 lần/năm</t>
        </is>
      </c>
      <c r="E230" s="11" t="inlineStr"/>
      <c r="F230" s="7" t="inlineStr">
        <is>
          <t>Danh sách, bài kiểm tra</t>
        </is>
      </c>
      <c r="G230" s="7" t="inlineStr"/>
      <c r="H230" s="11" t="inlineStr"/>
      <c r="I230" s="11" t="inlineStr"/>
    </row>
    <row r="231">
      <c r="A231" s="7" t="inlineStr">
        <is>
          <t>7.14</t>
        </is>
      </c>
      <c r="B231" s="7" t="inlineStr">
        <is>
          <t>Nhân sự vận hành, quản trị, bảo vệ an ninh mạng</t>
        </is>
      </c>
      <c r="C231" s="7" t="inlineStr">
        <is>
          <t>7.14.2.3 a)</t>
        </is>
      </c>
      <c r="D231" s="7" t="inlineStr">
        <is>
          <t>Đào tạo chuyên môn ANM theo vị trí; kèm pháp luật và trách nhiệm pháp lý</t>
        </is>
      </c>
      <c r="E231" s="11" t="inlineStr"/>
      <c r="F231" s="7" t="inlineStr">
        <is>
          <t>Chương trình đào tạo theo vai trò</t>
        </is>
      </c>
      <c r="G231" s="7" t="inlineStr"/>
      <c r="H231" s="11" t="inlineStr"/>
      <c r="I231" s="11" t="inlineStr"/>
    </row>
    <row r="232">
      <c r="A232" s="7" t="inlineStr">
        <is>
          <t>7.14</t>
        </is>
      </c>
      <c r="B232" s="7" t="inlineStr">
        <is>
          <t>Nhân sự vận hành, quản trị, bảo vệ an ninh mạng</t>
        </is>
      </c>
      <c r="C232" s="7" t="inlineStr">
        <is>
          <t>7.14.2.3 b)</t>
        </is>
      </c>
      <c r="D232" s="7" t="inlineStr">
        <is>
          <t>Đào tạo chuyên môn ≥ 1 lần/năm hoặc khi thay đổi nhân sự</t>
        </is>
      </c>
      <c r="E232" s="11" t="inlineStr"/>
      <c r="F232" s="7" t="inlineStr">
        <is>
          <t>Chứng nhận/danh sách</t>
        </is>
      </c>
      <c r="G232" s="7" t="inlineStr"/>
      <c r="H232" s="11" t="inlineStr"/>
      <c r="I232" s="11" t="inlineStr"/>
    </row>
    <row r="233">
      <c r="A233" s="7" t="inlineStr">
        <is>
          <t>7.14</t>
        </is>
      </c>
      <c r="B233" s="7" t="inlineStr">
        <is>
          <t>Nhân sự vận hành, quản trị, bảo vệ an ninh mạng</t>
        </is>
      </c>
      <c r="C233" s="7" t="inlineStr">
        <is>
          <t>7.14.2.4 a)</t>
        </is>
      </c>
      <c r="D233" s="7" t="inlineStr">
        <is>
          <t>Khung năng lực theo vị trí làm căn cứ tuyển dụng nhân sự chuyên trách</t>
        </is>
      </c>
      <c r="E233" s="11" t="inlineStr"/>
      <c r="F233" s="7" t="inlineStr">
        <is>
          <t>Khung năng lực</t>
        </is>
      </c>
      <c r="G233" s="7" t="inlineStr">
        <is>
          <t>Mới/khác so với cấp 4</t>
        </is>
      </c>
      <c r="H233" s="11" t="inlineStr"/>
      <c r="I233" s="11" t="inlineStr"/>
    </row>
    <row r="234">
      <c r="A234" s="7" t="inlineStr">
        <is>
          <t>7.14</t>
        </is>
      </c>
      <c r="B234" s="7" t="inlineStr">
        <is>
          <t>Nhân sự vận hành, quản trị, bảo vệ an ninh mạng</t>
        </is>
      </c>
      <c r="C234" s="7" t="inlineStr">
        <is>
          <t>7.14.2.4 b)</t>
        </is>
      </c>
      <c r="D234" s="7" t="inlineStr">
        <is>
          <t>Đánh giá, kiểm tra trình độ bảo đảm phù hợp vị trí</t>
        </is>
      </c>
      <c r="E234" s="11" t="inlineStr"/>
      <c r="F234" s="7" t="inlineStr">
        <is>
          <t>Kết quả đánh giá</t>
        </is>
      </c>
      <c r="G234" s="7" t="inlineStr">
        <is>
          <t>Mới/khác so với cấp 4</t>
        </is>
      </c>
      <c r="H234" s="11" t="inlineStr"/>
      <c r="I234" s="11" t="inlineStr"/>
    </row>
    <row r="235">
      <c r="A235" s="7" t="inlineStr">
        <is>
          <t>7.15</t>
        </is>
      </c>
      <c r="B235" s="7" t="inlineStr">
        <is>
          <t>Quản lý nhà cung cấp sản phẩm, dịch vụ</t>
        </is>
      </c>
      <c r="C235" s="7" t="inlineStr">
        <is>
          <t>7.15.1</t>
        </is>
      </c>
      <c r="D235" s="7" t="inlineStr">
        <is>
          <t>Quy trình đánh giá nhà cung cấp dịch vụ ANM, lưu trữ/xử lý dữ liệu nhạy cảm, nền tảng quan trọng</t>
        </is>
      </c>
      <c r="E235" s="11" t="inlineStr"/>
      <c r="F235" s="7" t="inlineStr">
        <is>
          <t>Quy trình đánh giá NCC</t>
        </is>
      </c>
      <c r="G235" s="7" t="inlineStr"/>
      <c r="H235" s="11" t="inlineStr"/>
      <c r="I235" s="11" t="inlineStr"/>
    </row>
    <row r="236">
      <c r="A236" s="7" t="inlineStr">
        <is>
          <t>7.15</t>
        </is>
      </c>
      <c r="B236" s="7" t="inlineStr">
        <is>
          <t>Quản lý nhà cung cấp sản phẩm, dịch vụ</t>
        </is>
      </c>
      <c r="C236" s="7" t="inlineStr">
        <is>
          <t>7.15.2.1</t>
        </is>
      </c>
      <c r="D236" s="7" t="inlineStr">
        <is>
          <t>Danh sách nhà cung cấp, theo dõi trạng thái</t>
        </is>
      </c>
      <c r="E236" s="11" t="inlineStr"/>
      <c r="F236" s="7" t="inlineStr">
        <is>
          <t>Danh sách NCC</t>
        </is>
      </c>
      <c r="G236" s="7" t="inlineStr"/>
      <c r="H236" s="11" t="inlineStr"/>
      <c r="I236" s="11" t="inlineStr"/>
    </row>
    <row r="237">
      <c r="A237" s="7" t="inlineStr">
        <is>
          <t>7.15</t>
        </is>
      </c>
      <c r="B237" s="7" t="inlineStr">
        <is>
          <t>Quản lý nhà cung cấp sản phẩm, dịch vụ</t>
        </is>
      </c>
      <c r="C237" s="7" t="inlineStr">
        <is>
          <t>7.15.2.1</t>
        </is>
      </c>
      <c r="D237" s="7" t="inlineStr">
        <is>
          <t>Phân loại nhà cung cấp</t>
        </is>
      </c>
      <c r="E237" s="11" t="inlineStr"/>
      <c r="F237" s="7" t="inlineStr">
        <is>
          <t>Tiêu chí phân loại</t>
        </is>
      </c>
      <c r="G237" s="7" t="inlineStr"/>
      <c r="H237" s="11" t="inlineStr"/>
      <c r="I237" s="11" t="inlineStr"/>
    </row>
    <row r="238">
      <c r="A238" s="7" t="inlineStr">
        <is>
          <t>7.15</t>
        </is>
      </c>
      <c r="B238" s="7" t="inlineStr">
        <is>
          <t>Quản lý nhà cung cấp sản phẩm, dịch vụ</t>
        </is>
      </c>
      <c r="C238" s="7" t="inlineStr">
        <is>
          <t>7.15.2.1</t>
        </is>
      </c>
      <c r="D238" s="7" t="inlineStr">
        <is>
          <t>Nhà cung cấp SP/DV ANM phải đủ điều kiện kinh doanh theo quy định</t>
        </is>
      </c>
      <c r="E238" s="11" t="inlineStr"/>
      <c r="F238" s="7" t="inlineStr">
        <is>
          <t>Giấy phép kinh doanh SP/DV ANM của NCC</t>
        </is>
      </c>
      <c r="G238" s="7" t="inlineStr"/>
      <c r="H238" s="11" t="inlineStr"/>
      <c r="I238" s="11" t="inlineStr"/>
    </row>
    <row r="239">
      <c r="A239" s="7" t="inlineStr">
        <is>
          <t>7.15</t>
        </is>
      </c>
      <c r="B239" s="7" t="inlineStr">
        <is>
          <t>Quản lý nhà cung cấp sản phẩm, dịch vụ</t>
        </is>
      </c>
      <c r="C239" s="7" t="inlineStr">
        <is>
          <t>7.15.2.1</t>
        </is>
      </c>
      <c r="D239" s="7" t="inlineStr">
        <is>
          <t>Văn bản phân định phạm vi trách nhiệm giữa nhà cung cấp và tổ chức</t>
        </is>
      </c>
      <c r="E239" s="11" t="inlineStr"/>
      <c r="F239" s="7" t="inlineStr">
        <is>
          <t>Hợp đồng/SLA/ma trận RACI</t>
        </is>
      </c>
      <c r="G239" s="7" t="inlineStr"/>
      <c r="H239" s="11" t="inlineStr"/>
      <c r="I239" s="11" t="inlineStr"/>
    </row>
    <row r="240">
      <c r="A240" s="7" t="inlineStr">
        <is>
          <t>7.15</t>
        </is>
      </c>
      <c r="B240" s="7" t="inlineStr">
        <is>
          <t>Quản lý nhà cung cấp sản phẩm, dịch vụ</t>
        </is>
      </c>
      <c r="C240" s="7" t="inlineStr">
        <is>
          <t>7.15.2.1</t>
        </is>
      </c>
      <c r="D240" s="7" t="inlineStr">
        <is>
          <t>Cập nhật danh sách nhà cung cấp ≥ 1 lần/năm hoặc khi thay đổi</t>
        </is>
      </c>
      <c r="E240" s="11" t="inlineStr"/>
      <c r="F240" s="7" t="inlineStr">
        <is>
          <t>Ngày cập nhật</t>
        </is>
      </c>
      <c r="G240" s="7" t="inlineStr"/>
      <c r="H240" s="11" t="inlineStr"/>
      <c r="I240" s="11" t="inlineStr"/>
    </row>
    <row r="241">
      <c r="A241" s="7" t="inlineStr">
        <is>
          <t>7.15</t>
        </is>
      </c>
      <c r="B241" s="7" t="inlineStr">
        <is>
          <t>Quản lý nhà cung cấp sản phẩm, dịch vụ</t>
        </is>
      </c>
      <c r="C241" s="7" t="inlineStr">
        <is>
          <t>7.15.2.2 a)</t>
        </is>
      </c>
      <c r="D241" s="7" t="inlineStr">
        <is>
          <t>Quy định quản lý nhà cung cấp dịch vụ</t>
        </is>
      </c>
      <c r="E241" s="11" t="inlineStr"/>
      <c r="F241" s="7" t="inlineStr">
        <is>
          <t>Quy định</t>
        </is>
      </c>
      <c r="G241" s="7" t="inlineStr"/>
      <c r="H241" s="11" t="inlineStr"/>
      <c r="I241" s="11" t="inlineStr"/>
    </row>
    <row r="242">
      <c r="A242" s="7" t="inlineStr">
        <is>
          <t>7.15</t>
        </is>
      </c>
      <c r="B242" s="7" t="inlineStr">
        <is>
          <t>Quản lý nhà cung cấp sản phẩm, dịch vụ</t>
        </is>
      </c>
      <c r="C242" s="7" t="inlineStr">
        <is>
          <t>7.15.2.2 b)</t>
        </is>
      </c>
      <c r="D242" s="7" t="inlineStr">
        <is>
          <t>Cập nhật quy định ≥ 1 lần/năm hoặc khi thay đổi</t>
        </is>
      </c>
      <c r="E242" s="11" t="inlineStr"/>
      <c r="F242" s="7" t="inlineStr">
        <is>
          <t>Lịch sử phiên bản</t>
        </is>
      </c>
      <c r="G242" s="7" t="inlineStr"/>
      <c r="H242" s="11" t="inlineStr"/>
      <c r="I242" s="11" t="inlineStr"/>
    </row>
    <row r="243">
      <c r="A243" s="7" t="inlineStr">
        <is>
          <t>7.15</t>
        </is>
      </c>
      <c r="B243" s="7" t="inlineStr">
        <is>
          <t>Quản lý nhà cung cấp sản phẩm, dịch vụ</t>
        </is>
      </c>
      <c r="C243" s="7" t="inlineStr">
        <is>
          <t>7.15.2.3 a)</t>
        </is>
      </c>
      <c r="D243" s="7" t="inlineStr">
        <is>
          <t>Hợp đồng dịch vụ ANM có đủ điều khoản bảo mật</t>
        </is>
      </c>
      <c r="E243" s="11" t="inlineStr"/>
      <c r="F243" s="7" t="inlineStr">
        <is>
          <t>Hợp đồng</t>
        </is>
      </c>
      <c r="G243" s="7" t="inlineStr"/>
      <c r="H243" s="11" t="inlineStr"/>
      <c r="I243" s="11" t="inlineStr"/>
    </row>
    <row r="244">
      <c r="A244" s="7" t="inlineStr">
        <is>
          <t>7.15</t>
        </is>
      </c>
      <c r="B244" s="7" t="inlineStr">
        <is>
          <t>Quản lý nhà cung cấp sản phẩm, dịch vụ</t>
        </is>
      </c>
      <c r="C244" s="7" t="inlineStr">
        <is>
          <t>7.15.2.3 b)</t>
        </is>
      </c>
      <c r="D244" s="7" t="inlineStr">
        <is>
          <t>Rà soát điều khoản bảo mật khi gia hạn hợp đồng</t>
        </is>
      </c>
      <c r="E244" s="11" t="inlineStr"/>
      <c r="F244" s="7" t="inlineStr">
        <is>
          <t>Biên bản rà soát</t>
        </is>
      </c>
      <c r="G244" s="7" t="inlineStr"/>
      <c r="H244" s="11" t="inlineStr"/>
      <c r="I244" s="11" t="inlineStr"/>
    </row>
    <row r="245">
      <c r="A245" s="7" t="inlineStr">
        <is>
          <t>7.15</t>
        </is>
      </c>
      <c r="B245" s="7" t="inlineStr">
        <is>
          <t>Quản lý nhà cung cấp sản phẩm, dịch vụ</t>
        </is>
      </c>
      <c r="C245" s="7" t="inlineStr">
        <is>
          <t>7.15.2.4</t>
        </is>
      </c>
      <c r="D245" s="7" t="inlineStr">
        <is>
          <t>Giám sát nhà cung cấp tuân thủ quy định của tổ chức</t>
        </is>
      </c>
      <c r="E245" s="11" t="inlineStr"/>
      <c r="F245" s="7" t="inlineStr">
        <is>
          <t>Báo cáo đánh giá NCC</t>
        </is>
      </c>
      <c r="G245" s="7" t="inlineStr"/>
      <c r="H245" s="11" t="inlineStr"/>
      <c r="I245" s="11" t="inlineStr"/>
    </row>
    <row r="246">
      <c r="A246" s="7" t="inlineStr">
        <is>
          <t>7.15</t>
        </is>
      </c>
      <c r="B246" s="7" t="inlineStr">
        <is>
          <t>Quản lý nhà cung cấp sản phẩm, dịch vụ</t>
        </is>
      </c>
      <c r="C246" s="7" t="inlineStr">
        <is>
          <t>7.15.2.5</t>
        </is>
      </c>
      <c r="D246" s="7" t="inlineStr">
        <is>
          <t>Rà soát vấn đề bảo mật khi kết thúc hợp đồng (thu hồi quyền, dữ liệu)</t>
        </is>
      </c>
      <c r="E246" s="11" t="inlineStr"/>
      <c r="F246" s="7" t="inlineStr">
        <is>
          <t>Biên bản kết thúc</t>
        </is>
      </c>
      <c r="G246" s="7" t="inlineStr"/>
      <c r="H246" s="11" t="inlineStr"/>
      <c r="I246" s="11" t="inlineStr"/>
    </row>
    <row r="247">
      <c r="A247" s="7" t="inlineStr">
        <is>
          <t>7.16</t>
        </is>
      </c>
      <c r="B247" s="7" t="inlineStr">
        <is>
          <t>Phát triển ứng dụng an toàn</t>
        </is>
      </c>
      <c r="C247" s="7" t="inlineStr">
        <is>
          <t>7.16.2.1 a)</t>
        </is>
      </c>
      <c r="D247" s="7" t="inlineStr">
        <is>
          <t>Quy trình phát triển ứng dụng an toàn (SDLC)</t>
        </is>
      </c>
      <c r="E247" s="11" t="inlineStr"/>
      <c r="F247" s="7" t="inlineStr">
        <is>
          <t>Quy trình SSDLC</t>
        </is>
      </c>
      <c r="G247" s="7" t="inlineStr"/>
      <c r="H247" s="11" t="inlineStr"/>
      <c r="I247" s="11" t="inlineStr"/>
    </row>
    <row r="248">
      <c r="A248" s="7" t="inlineStr">
        <is>
          <t>7.16</t>
        </is>
      </c>
      <c r="B248" s="7" t="inlineStr">
        <is>
          <t>Phát triển ứng dụng an toàn</t>
        </is>
      </c>
      <c r="C248" s="7" t="inlineStr">
        <is>
          <t>7.16.2.1 b)</t>
        </is>
      </c>
      <c r="D248" s="7" t="inlineStr">
        <is>
          <t>Cập nhật quy trình ≥ 1 lần/năm hoặc khi thay đổi</t>
        </is>
      </c>
      <c r="E248" s="11" t="inlineStr"/>
      <c r="F248" s="7" t="inlineStr">
        <is>
          <t>Lịch sử phiên bản</t>
        </is>
      </c>
      <c r="G248" s="7" t="inlineStr"/>
      <c r="H248" s="11" t="inlineStr"/>
      <c r="I248" s="11" t="inlineStr"/>
    </row>
    <row r="249">
      <c r="A249" s="7" t="inlineStr">
        <is>
          <t>7.16</t>
        </is>
      </c>
      <c r="B249" s="7" t="inlineStr">
        <is>
          <t>Phát triển ứng dụng an toàn</t>
        </is>
      </c>
      <c r="C249" s="7" t="inlineStr">
        <is>
          <t>7.16.2.1 c)</t>
        </is>
      </c>
      <c r="D249" s="7" t="inlineStr">
        <is>
          <t>Thuê khoán: hợp đồng, cam kết bảo mật với bên phát triển</t>
        </is>
      </c>
      <c r="E249" s="11" t="inlineStr"/>
      <c r="F249" s="7" t="inlineStr">
        <is>
          <t>Hợp đồng, NDA</t>
        </is>
      </c>
      <c r="G249" s="7" t="inlineStr"/>
      <c r="H249" s="11" t="inlineStr"/>
      <c r="I249" s="11" t="inlineStr"/>
    </row>
    <row r="250">
      <c r="A250" s="7" t="inlineStr">
        <is>
          <t>7.16</t>
        </is>
      </c>
      <c r="B250" s="7" t="inlineStr">
        <is>
          <t>Phát triển ứng dụng an toàn</t>
        </is>
      </c>
      <c r="C250" s="7" t="inlineStr">
        <is>
          <t>7.16.2.1 c)</t>
        </is>
      </c>
      <c r="D250" s="7" t="inlineStr">
        <is>
          <t>Thuê khoán: nhận mã nguồn; nếu không có thì chứng chỉ đánh giá độc lập hoặc pentest/giám sát thay thế + cam kết pháp lý</t>
        </is>
      </c>
      <c r="E250" s="11" t="inlineStr"/>
      <c r="F250" s="7" t="inlineStr">
        <is>
          <t>Biên bản bàn giao/cam kết</t>
        </is>
      </c>
      <c r="G250" s="7" t="inlineStr"/>
      <c r="H250" s="11" t="inlineStr"/>
      <c r="I250" s="11" t="inlineStr"/>
    </row>
    <row r="251">
      <c r="A251" s="7" t="inlineStr">
        <is>
          <t>7.16</t>
        </is>
      </c>
      <c r="B251" s="7" t="inlineStr">
        <is>
          <t>Phát triển ứng dụng an toàn</t>
        </is>
      </c>
      <c r="C251" s="7" t="inlineStr">
        <is>
          <t>7.16.2.1 c)</t>
        </is>
      </c>
      <c r="D251" s="7" t="inlineStr">
        <is>
          <t>Thuê khoán: kiểm thử trên môi trường thử nghiệm; đánh giá ANM trước khi dùng và mỗi khi đổi mã nguồn/kiến trúc</t>
        </is>
      </c>
      <c r="E251" s="11" t="inlineStr"/>
      <c r="F251" s="7" t="inlineStr">
        <is>
          <t>Báo cáo kiểm thử, đánh giá</t>
        </is>
      </c>
      <c r="G251" s="7" t="inlineStr"/>
      <c r="H251" s="11" t="inlineStr"/>
      <c r="I251" s="11" t="inlineStr"/>
    </row>
    <row r="252">
      <c r="A252" s="7" t="inlineStr">
        <is>
          <t>7.16</t>
        </is>
      </c>
      <c r="B252" s="7" t="inlineStr">
        <is>
          <t>Phát triển ứng dụng an toàn</t>
        </is>
      </c>
      <c r="C252" s="7" t="inlineStr">
        <is>
          <t>7.16.2.1 c)</t>
        </is>
      </c>
      <c r="D252" s="7" t="inlineStr">
        <is>
          <t>Thuê khoán: cam kết của bên phát triển về bảo mật và bản quyền phần mềm</t>
        </is>
      </c>
      <c r="E252" s="11" t="inlineStr"/>
      <c r="F252" s="7" t="inlineStr">
        <is>
          <t>Cam kết</t>
        </is>
      </c>
      <c r="G252" s="7" t="inlineStr"/>
      <c r="H252" s="11" t="inlineStr"/>
      <c r="I252" s="11" t="inlineStr"/>
    </row>
    <row r="253">
      <c r="A253" s="7" t="inlineStr">
        <is>
          <t>7.16</t>
        </is>
      </c>
      <c r="B253" s="7" t="inlineStr">
        <is>
          <t>Phát triển ứng dụng an toàn</t>
        </is>
      </c>
      <c r="C253" s="7" t="inlineStr">
        <is>
          <t>7.16.2.2 a)</t>
        </is>
      </c>
      <c r="D253" s="7" t="inlineStr">
        <is>
          <t>Quy trình tiếp nhận, xử lý báo cáo lỗ hổng phần mềm, có kênh cho bên ngoài báo cáo</t>
        </is>
      </c>
      <c r="E253" s="11" t="inlineStr"/>
      <c r="F253" s="7" t="inlineStr">
        <is>
          <t>Trang/địa chỉ tiếp nhận (security.txt)</t>
        </is>
      </c>
      <c r="G253" s="7" t="inlineStr"/>
      <c r="H253" s="11" t="inlineStr"/>
      <c r="I253" s="11" t="inlineStr"/>
    </row>
    <row r="254">
      <c r="A254" s="7" t="inlineStr">
        <is>
          <t>7.16</t>
        </is>
      </c>
      <c r="B254" s="7" t="inlineStr">
        <is>
          <t>Phát triển ứng dụng an toàn</t>
        </is>
      </c>
      <c r="C254" s="7" t="inlineStr">
        <is>
          <t>7.16.2.2 b)</t>
        </is>
      </c>
      <c r="D254" s="7" t="inlineStr">
        <is>
          <t>Theo dõi lỗ hổng phần mềm theo mức nghiêm trọng và chỉ số thời gian phát hiện–phân tích–khắc phục</t>
        </is>
      </c>
      <c r="E254" s="11" t="inlineStr"/>
      <c r="F254" s="7" t="inlineStr">
        <is>
          <t>Dashboard/chỉ số</t>
        </is>
      </c>
      <c r="G254" s="7" t="inlineStr">
        <is>
          <t>Mới/khác so với cấp 4</t>
        </is>
      </c>
      <c r="H254" s="11" t="inlineStr"/>
      <c r="I254" s="11" t="inlineStr"/>
    </row>
    <row r="255">
      <c r="A255" s="7" t="inlineStr">
        <is>
          <t>7.16</t>
        </is>
      </c>
      <c r="B255" s="7" t="inlineStr">
        <is>
          <t>Phát triển ứng dụng an toàn</t>
        </is>
      </c>
      <c r="C255" s="7" t="inlineStr">
        <is>
          <t>7.16.2.2 c)</t>
        </is>
      </c>
      <c r="D255" s="7" t="inlineStr">
        <is>
          <t>Cập nhật quy trình ≥ 1 lần/năm hoặc khi thay đổi</t>
        </is>
      </c>
      <c r="E255" s="11" t="inlineStr"/>
      <c r="F255" s="7" t="inlineStr">
        <is>
          <t>Lịch sử phiên bản</t>
        </is>
      </c>
      <c r="G255" s="7" t="inlineStr"/>
      <c r="H255" s="11" t="inlineStr"/>
      <c r="I255" s="11" t="inlineStr"/>
    </row>
    <row r="256">
      <c r="A256" s="7" t="inlineStr">
        <is>
          <t>7.16</t>
        </is>
      </c>
      <c r="B256" s="7" t="inlineStr">
        <is>
          <t>Phát triển ứng dụng an toàn</t>
        </is>
      </c>
      <c r="C256" s="7" t="inlineStr">
        <is>
          <t>7.16.2.3</t>
        </is>
      </c>
      <c r="D256" s="7" t="inlineStr">
        <is>
          <t>Phân tích nguyên nhân gốc của lỗ hổng</t>
        </is>
      </c>
      <c r="E256" s="11" t="inlineStr"/>
      <c r="F256" s="7" t="inlineStr">
        <is>
          <t>Báo cáo RCA</t>
        </is>
      </c>
      <c r="G256" s="7" t="inlineStr"/>
      <c r="H256" s="11" t="inlineStr"/>
      <c r="I256" s="11" t="inlineStr"/>
    </row>
    <row r="257">
      <c r="A257" s="7" t="inlineStr">
        <is>
          <t>7.16</t>
        </is>
      </c>
      <c r="B257" s="7" t="inlineStr">
        <is>
          <t>Phát triển ứng dụng an toàn</t>
        </is>
      </c>
      <c r="C257" s="7" t="inlineStr">
        <is>
          <t>7.16.2.4 a)</t>
        </is>
      </c>
      <c r="D257" s="7" t="inlineStr">
        <is>
          <t>Danh mục thành phần bên thứ ba (thư viện, mô-đun) đang/sẽ dùng (SBOM)</t>
        </is>
      </c>
      <c r="E257" s="11" t="inlineStr"/>
      <c r="F257" s="7" t="inlineStr">
        <is>
          <t>SBOM</t>
        </is>
      </c>
      <c r="G257" s="7" t="inlineStr"/>
      <c r="H257" s="11" t="inlineStr"/>
      <c r="I257" s="11" t="inlineStr"/>
    </row>
    <row r="258">
      <c r="A258" s="7" t="inlineStr">
        <is>
          <t>7.16</t>
        </is>
      </c>
      <c r="B258" s="7" t="inlineStr">
        <is>
          <t>Phát triển ứng dụng an toàn</t>
        </is>
      </c>
      <c r="C258" s="7" t="inlineStr">
        <is>
          <t>7.16.2.4 b)</t>
        </is>
      </c>
      <c r="D258" s="7" t="inlineStr">
        <is>
          <t>Ghi rủi ro ANM của từng thành phần bên thứ ba</t>
        </is>
      </c>
      <c r="E258" s="11" t="inlineStr"/>
      <c r="F258" s="7" t="inlineStr">
        <is>
          <t>SBOM kèm đánh giá</t>
        </is>
      </c>
      <c r="G258" s="7" t="inlineStr"/>
      <c r="H258" s="11" t="inlineStr"/>
      <c r="I258" s="11" t="inlineStr"/>
    </row>
    <row r="259">
      <c r="A259" s="7" t="inlineStr">
        <is>
          <t>7.16</t>
        </is>
      </c>
      <c r="B259" s="7" t="inlineStr">
        <is>
          <t>Phát triển ứng dụng an toàn</t>
        </is>
      </c>
      <c r="C259" s="7" t="inlineStr">
        <is>
          <t>7.16.2.4 c)</t>
        </is>
      </c>
      <c r="D259" s="7" t="inlineStr">
        <is>
          <t>Cập nhật danh mục thành phần ≥ 1 lần/tháng</t>
        </is>
      </c>
      <c r="E259" s="11" t="inlineStr"/>
      <c r="F259" s="7" t="inlineStr">
        <is>
          <t>Lịch sử SBOM</t>
        </is>
      </c>
      <c r="G259" s="7" t="inlineStr">
        <is>
          <t>Mới/khác so với cấp 4</t>
        </is>
      </c>
      <c r="H259" s="11" t="inlineStr"/>
      <c r="I259" s="11" t="inlineStr"/>
    </row>
    <row r="260">
      <c r="A260" s="7" t="inlineStr">
        <is>
          <t>7.16</t>
        </is>
      </c>
      <c r="B260" s="7" t="inlineStr">
        <is>
          <t>Phát triển ứng dụng an toàn</t>
        </is>
      </c>
      <c r="C260" s="7" t="inlineStr">
        <is>
          <t>7.16.2.5</t>
        </is>
      </c>
      <c r="D260" s="7" t="inlineStr">
        <is>
          <t>Tách môi trường phát triển, kiểm thử, vận hành; không để bí mật trong mã nguồn</t>
        </is>
      </c>
      <c r="E260" s="11" t="inlineStr"/>
      <c r="F260" s="7" t="inlineStr">
        <is>
          <t>Sơ đồ môi trường, kết quả quét secret</t>
        </is>
      </c>
      <c r="G260" s="7" t="inlineStr"/>
      <c r="H260" s="11" t="inlineStr"/>
      <c r="I260" s="11" t="inlineStr"/>
    </row>
    <row r="261">
      <c r="A261" s="7" t="inlineStr">
        <is>
          <t>7.16</t>
        </is>
      </c>
      <c r="B261" s="7" t="inlineStr">
        <is>
          <t>Phát triển ứng dụng an toàn</t>
        </is>
      </c>
      <c r="C261" s="7" t="inlineStr">
        <is>
          <t>7.16.2.6 a)</t>
        </is>
      </c>
      <c r="D261" s="7" t="inlineStr">
        <is>
          <t>Đào tạo lập trình an toàn cho toàn bộ lập trình viên</t>
        </is>
      </c>
      <c r="E261" s="11" t="inlineStr"/>
      <c r="F261" s="7" t="inlineStr">
        <is>
          <t>Danh sách đào tạo</t>
        </is>
      </c>
      <c r="G261" s="7" t="inlineStr"/>
      <c r="H261" s="11" t="inlineStr"/>
      <c r="I261" s="11" t="inlineStr"/>
    </row>
    <row r="262">
      <c r="A262" s="7" t="inlineStr">
        <is>
          <t>7.16</t>
        </is>
      </c>
      <c r="B262" s="7" t="inlineStr">
        <is>
          <t>Phát triển ứng dụng an toàn</t>
        </is>
      </c>
      <c r="C262" s="7" t="inlineStr">
        <is>
          <t>7.16.2.6 b)</t>
        </is>
      </c>
      <c r="D262" s="7" t="inlineStr">
        <is>
          <t>Đào tạo lập trình an toàn ≥ 1 lần/năm</t>
        </is>
      </c>
      <c r="E262" s="11" t="inlineStr"/>
      <c r="F262" s="7" t="inlineStr">
        <is>
          <t>Danh sách đào tạo</t>
        </is>
      </c>
      <c r="G262" s="7" t="inlineStr"/>
      <c r="H262" s="11" t="inlineStr"/>
      <c r="I262" s="11" t="inlineStr"/>
    </row>
    <row r="263">
      <c r="A263" s="7" t="inlineStr">
        <is>
          <t>7.16</t>
        </is>
      </c>
      <c r="B263" s="7" t="inlineStr">
        <is>
          <t>Phát triển ứng dụng an toàn</t>
        </is>
      </c>
      <c r="C263" s="7" t="inlineStr">
        <is>
          <t>7.16.2.7</t>
        </is>
      </c>
      <c r="D263" s="7" t="inlineStr">
        <is>
          <t>Thiết kế: kiểm tra dữ liệu vào/ra, chống tấn công phổ biến, kiểm soát thông báo lỗi</t>
        </is>
      </c>
      <c r="E263" s="11" t="inlineStr"/>
      <c r="F263" s="7" t="inlineStr">
        <is>
          <t>Tài liệu thiết kế, checklist review</t>
        </is>
      </c>
      <c r="G263" s="7" t="inlineStr"/>
      <c r="H263" s="11" t="inlineStr"/>
      <c r="I263" s="11" t="inlineStr"/>
    </row>
    <row r="264">
      <c r="A264" s="7" t="inlineStr">
        <is>
          <t>7.16</t>
        </is>
      </c>
      <c r="B264" s="7" t="inlineStr">
        <is>
          <t>Phát triển ứng dụng an toàn</t>
        </is>
      </c>
      <c r="C264" s="7" t="inlineStr">
        <is>
          <t>7.16.2.7</t>
        </is>
      </c>
      <c r="D264" s="7" t="inlineStr">
        <is>
          <t>Không lưu thông tin xác thực, bí mật trong mã nguồn</t>
        </is>
      </c>
      <c r="E264" s="11" t="inlineStr"/>
      <c r="F264" s="7" t="inlineStr">
        <is>
          <t>Kết quả quét secret</t>
        </is>
      </c>
      <c r="G264" s="7" t="inlineStr"/>
      <c r="H264" s="11" t="inlineStr"/>
      <c r="I264" s="11" t="inlineStr"/>
    </row>
    <row r="265">
      <c r="A265" s="7" t="inlineStr">
        <is>
          <t>7.16</t>
        </is>
      </c>
      <c r="B265" s="7" t="inlineStr">
        <is>
          <t>Phát triển ứng dụng an toàn</t>
        </is>
      </c>
      <c r="C265" s="7" t="inlineStr">
        <is>
          <t>7.16.2.7</t>
        </is>
      </c>
      <c r="D265" s="7" t="inlineStr">
        <is>
          <t>Quản lý phiên làm việc an toàn</t>
        </is>
      </c>
      <c r="E265" s="11" t="inlineStr"/>
      <c r="F265" s="7" t="inlineStr">
        <is>
          <t>Tài liệu thiết kế</t>
        </is>
      </c>
      <c r="G265" s="7" t="inlineStr"/>
      <c r="H265" s="11" t="inlineStr"/>
      <c r="I265" s="11" t="inlineStr"/>
    </row>
    <row r="266">
      <c r="A266" s="7" t="inlineStr">
        <is>
          <t>7.16</t>
        </is>
      </c>
      <c r="B266" s="7" t="inlineStr">
        <is>
          <t>Phát triển ứng dụng an toàn</t>
        </is>
      </c>
      <c r="C266" s="7" t="inlineStr">
        <is>
          <t>7.16.2.8 a)</t>
        </is>
      </c>
      <c r="D266" s="7" t="inlineStr">
        <is>
          <t>Dùng mô-đun/dịch vụ bảo mật đã được kiểm chứng</t>
        </is>
      </c>
      <c r="E266" s="11" t="inlineStr"/>
      <c r="F266" s="7" t="inlineStr">
        <is>
          <t>Danh sách thư viện</t>
        </is>
      </c>
      <c r="G266" s="7" t="inlineStr"/>
      <c r="H266" s="11" t="inlineStr"/>
      <c r="I266" s="11" t="inlineStr"/>
    </row>
    <row r="267">
      <c r="A267" s="7" t="inlineStr">
        <is>
          <t>7.16</t>
        </is>
      </c>
      <c r="B267" s="7" t="inlineStr">
        <is>
          <t>Phát triển ứng dụng an toàn</t>
        </is>
      </c>
      <c r="C267" s="7" t="inlineStr">
        <is>
          <t>7.16.2.8 b)</t>
        </is>
      </c>
      <c r="D267" s="7" t="inlineStr">
        <is>
          <t>Chỉ dùng thuật toán mã hóa mạnh, đã chuẩn hóa</t>
        </is>
      </c>
      <c r="E267" s="11" t="inlineStr"/>
      <c r="F267" s="7" t="inlineStr">
        <is>
          <t>Danh sách thuật toán</t>
        </is>
      </c>
      <c r="G267" s="7" t="inlineStr"/>
      <c r="H267" s="11" t="inlineStr"/>
      <c r="I267" s="11" t="inlineStr"/>
    </row>
    <row r="268">
      <c r="A268" s="7" t="inlineStr">
        <is>
          <t>7.16</t>
        </is>
      </c>
      <c r="B268" s="7" t="inlineStr">
        <is>
          <t>Phát triển ứng dụng an toàn</t>
        </is>
      </c>
      <c r="C268" s="7" t="inlineStr">
        <is>
          <t>7.16.2.8 c)</t>
        </is>
      </c>
      <c r="D268" s="7" t="inlineStr">
        <is>
          <t>Ghi nhật ký kiểm toán hành vi người dùng trong sản phẩm</t>
        </is>
      </c>
      <c r="E268" s="11" t="inlineStr"/>
      <c r="F268" s="7" t="inlineStr">
        <is>
          <t>Mẫu audit log</t>
        </is>
      </c>
      <c r="G268" s="7" t="inlineStr"/>
      <c r="H268" s="11" t="inlineStr"/>
      <c r="I268" s="11" t="inlineStr"/>
    </row>
    <row r="269">
      <c r="A269" s="7" t="inlineStr">
        <is>
          <t>7.16</t>
        </is>
      </c>
      <c r="B269" s="7" t="inlineStr">
        <is>
          <t>Phát triển ứng dụng an toàn</t>
        </is>
      </c>
      <c r="C269" s="7" t="inlineStr">
        <is>
          <t>7.16.2.9 a)</t>
        </is>
      </c>
      <c r="D269" s="7" t="inlineStr">
        <is>
          <t>Kiểm tra lỗ hổng mã nguồn tự viết và thư viện, thành phần bên thứ ba</t>
        </is>
      </c>
      <c r="E269" s="11" t="inlineStr"/>
      <c r="F269" s="7" t="inlineStr">
        <is>
          <t>Báo cáo SAST/SCA</t>
        </is>
      </c>
      <c r="G269" s="7" t="inlineStr"/>
      <c r="H269" s="11" t="inlineStr"/>
      <c r="I269" s="11" t="inlineStr"/>
    </row>
    <row r="270">
      <c r="A270" s="7" t="inlineStr">
        <is>
          <t>7.16</t>
        </is>
      </c>
      <c r="B270" s="7" t="inlineStr">
        <is>
          <t>Phát triển ứng dụng an toàn</t>
        </is>
      </c>
      <c r="C270" s="7" t="inlineStr">
        <is>
          <t>7.16.2.9 b)</t>
        </is>
      </c>
      <c r="D270" s="7" t="inlineStr">
        <is>
          <t>Kiểm thử xâm nhập và khắc phục trước khi vận hành chính thức</t>
        </is>
      </c>
      <c r="E270" s="11" t="inlineStr"/>
      <c r="F270" s="7" t="inlineStr">
        <is>
          <t>Báo cáo pentest trước go-live</t>
        </is>
      </c>
      <c r="G270" s="7" t="inlineStr"/>
      <c r="H270" s="11" t="inlineStr"/>
      <c r="I270" s="11" t="inlineStr"/>
    </row>
    <row r="271">
      <c r="A271" s="7" t="inlineStr">
        <is>
          <t>7.17</t>
        </is>
      </c>
      <c r="B271" s="7" t="inlineStr">
        <is>
          <t>Quản trị ứng phó sự cố an ninh mạng</t>
        </is>
      </c>
      <c r="C271" s="7" t="inlineStr">
        <is>
          <t>7.17.2.1 a)</t>
        </is>
      </c>
      <c r="D271" s="7" t="inlineStr">
        <is>
          <t>Chỉ định người chủ chốt và ít nhất một người dự phòng quản lý ứng phó sự cố</t>
        </is>
      </c>
      <c r="E271" s="11" t="inlineStr"/>
      <c r="F271" s="7" t="inlineStr">
        <is>
          <t>Quyết định phân công</t>
        </is>
      </c>
      <c r="G271" s="7" t="inlineStr"/>
      <c r="H271" s="11" t="inlineStr"/>
      <c r="I271" s="11" t="inlineStr"/>
    </row>
    <row r="272">
      <c r="A272" s="7" t="inlineStr">
        <is>
          <t>7.17</t>
        </is>
      </c>
      <c r="B272" s="7" t="inlineStr">
        <is>
          <t>Quản trị ứng phó sự cố an ninh mạng</t>
        </is>
      </c>
      <c r="C272" s="7" t="inlineStr">
        <is>
          <t>7.17.2.1 b)</t>
        </is>
      </c>
      <c r="D272" s="7" t="inlineStr">
        <is>
          <t>Đầu mối tiếp nhận báo cáo sự cố; xác minh thông tin liên hệ hằng năm</t>
        </is>
      </c>
      <c r="E272" s="11" t="inlineStr"/>
      <c r="F272" s="7" t="inlineStr">
        <is>
          <t>Danh bạ có ngày xác minh</t>
        </is>
      </c>
      <c r="G272" s="7" t="inlineStr"/>
      <c r="H272" s="11" t="inlineStr"/>
      <c r="I272" s="11" t="inlineStr"/>
    </row>
    <row r="273">
      <c r="A273" s="7" t="inlineStr">
        <is>
          <t>7.17</t>
        </is>
      </c>
      <c r="B273" s="7" t="inlineStr">
        <is>
          <t>Quản trị ứng phó sự cố an ninh mạng</t>
        </is>
      </c>
      <c r="C273" s="7" t="inlineStr">
        <is>
          <t>7.17.2.1 c)</t>
        </is>
      </c>
      <c r="D273" s="7" t="inlineStr">
        <is>
          <t>Phân công vai trò, trách nhiệm từng thành viên đội ứng phó</t>
        </is>
      </c>
      <c r="E273" s="11" t="inlineStr"/>
      <c r="F273" s="7" t="inlineStr">
        <is>
          <t>Bảng RACI đội ứng phó</t>
        </is>
      </c>
      <c r="G273" s="7" t="inlineStr"/>
      <c r="H273" s="11" t="inlineStr"/>
      <c r="I273" s="11" t="inlineStr"/>
    </row>
    <row r="274">
      <c r="A274" s="7" t="inlineStr">
        <is>
          <t>7.17</t>
        </is>
      </c>
      <c r="B274" s="7" t="inlineStr">
        <is>
          <t>Quản trị ứng phó sự cố an ninh mạng</t>
        </is>
      </c>
      <c r="C274" s="7" t="inlineStr">
        <is>
          <t>7.17.2.1 d)</t>
        </is>
      </c>
      <c r="D274" s="7" t="inlineStr">
        <is>
          <t>Quy định trách nhiệm phối hợp của các phòng ban với đội ứng phó</t>
        </is>
      </c>
      <c r="E274" s="11" t="inlineStr"/>
      <c r="F274" s="7" t="inlineStr">
        <is>
          <t>Quy chế phối hợp</t>
        </is>
      </c>
      <c r="G274" s="7" t="inlineStr"/>
      <c r="H274" s="11" t="inlineStr"/>
      <c r="I274" s="11" t="inlineStr"/>
    </row>
    <row r="275">
      <c r="A275" s="7" t="inlineStr">
        <is>
          <t>7.17</t>
        </is>
      </c>
      <c r="B275" s="7" t="inlineStr">
        <is>
          <t>Quản trị ứng phó sự cố an ninh mạng</t>
        </is>
      </c>
      <c r="C275" s="7" t="inlineStr">
        <is>
          <t>7.17.2.2 a)</t>
        </is>
      </c>
      <c r="D275" s="7" t="inlineStr">
        <is>
          <t>Quy trình báo cáo sự cố nội bộ</t>
        </is>
      </c>
      <c r="E275" s="11" t="inlineStr"/>
      <c r="F275" s="7" t="inlineStr">
        <is>
          <t>Quy trình, mẫu báo cáo</t>
        </is>
      </c>
      <c r="G275" s="7" t="inlineStr"/>
      <c r="H275" s="11" t="inlineStr"/>
      <c r="I275" s="11" t="inlineStr"/>
    </row>
    <row r="276">
      <c r="A276" s="7" t="inlineStr">
        <is>
          <t>7.17</t>
        </is>
      </c>
      <c r="B276" s="7" t="inlineStr">
        <is>
          <t>Quản trị ứng phó sự cố an ninh mạng</t>
        </is>
      </c>
      <c r="C276" s="7" t="inlineStr">
        <is>
          <t>7.17.2.2 b)</t>
        </is>
      </c>
      <c r="D276" s="7" t="inlineStr">
        <is>
          <t>Phân nhóm sự cố ANM</t>
        </is>
      </c>
      <c r="E276" s="11" t="inlineStr"/>
      <c r="F276" s="7" t="inlineStr">
        <is>
          <t>Bảng phân loại sự cố</t>
        </is>
      </c>
      <c r="G276" s="7" t="inlineStr"/>
      <c r="H276" s="11" t="inlineStr"/>
      <c r="I276" s="11" t="inlineStr"/>
    </row>
    <row r="277">
      <c r="A277" s="7" t="inlineStr">
        <is>
          <t>7.17</t>
        </is>
      </c>
      <c r="B277" s="7" t="inlineStr">
        <is>
          <t>Quản trị ứng phó sự cố an ninh mạng</t>
        </is>
      </c>
      <c r="C277" s="7" t="inlineStr">
        <is>
          <t>7.17.2.2 c)</t>
        </is>
      </c>
      <c r="D277" s="7" t="inlineStr">
        <is>
          <t>Cập nhật quy trình báo cáo ≥ 1 lần/năm hoặc khi thay đổi</t>
        </is>
      </c>
      <c r="E277" s="11" t="inlineStr"/>
      <c r="F277" s="7" t="inlineStr">
        <is>
          <t>Lịch sử phiên bản</t>
        </is>
      </c>
      <c r="G277" s="7" t="inlineStr"/>
      <c r="H277" s="11" t="inlineStr"/>
      <c r="I277" s="11" t="inlineStr"/>
    </row>
    <row r="278">
      <c r="A278" s="7" t="inlineStr">
        <is>
          <t>7.17</t>
        </is>
      </c>
      <c r="B278" s="7" t="inlineStr">
        <is>
          <t>Quản trị ứng phó sự cố an ninh mạng</t>
        </is>
      </c>
      <c r="C278" s="7" t="inlineStr">
        <is>
          <t>7.17.2.3 a)</t>
        </is>
      </c>
      <c r="D278" s="7" t="inlineStr">
        <is>
          <t>Quy trình ứng phó có cơ chế phối hợp với cơ quan chức năng, chuyên gia, nhà cung cấp dịch vụ</t>
        </is>
      </c>
      <c r="E278" s="11" t="inlineStr"/>
      <c r="F278" s="7" t="inlineStr">
        <is>
          <t>Quy trình ứng phó</t>
        </is>
      </c>
      <c r="G278" s="7" t="inlineStr"/>
      <c r="H278" s="11" t="inlineStr"/>
      <c r="I278" s="11" t="inlineStr"/>
    </row>
    <row r="279">
      <c r="A279" s="7" t="inlineStr">
        <is>
          <t>7.17</t>
        </is>
      </c>
      <c r="B279" s="7" t="inlineStr">
        <is>
          <t>Quản trị ứng phó sự cố an ninh mạng</t>
        </is>
      </c>
      <c r="C279" s="7" t="inlineStr">
        <is>
          <t>7.17.2.3 b)</t>
        </is>
      </c>
      <c r="D279" s="7" t="inlineStr">
        <is>
          <t>Cập nhật quy trình ứng phó ≥ 1 lần/năm hoặc khi thay đổi</t>
        </is>
      </c>
      <c r="E279" s="11" t="inlineStr"/>
      <c r="F279" s="7" t="inlineStr">
        <is>
          <t>Lịch sử phiên bản</t>
        </is>
      </c>
      <c r="G279" s="7" t="inlineStr"/>
      <c r="H279" s="11" t="inlineStr"/>
      <c r="I279" s="11" t="inlineStr"/>
    </row>
    <row r="280">
      <c r="A280" s="7" t="inlineStr">
        <is>
          <t>7.17</t>
        </is>
      </c>
      <c r="B280" s="7" t="inlineStr">
        <is>
          <t>Quản trị ứng phó sự cố an ninh mạng</t>
        </is>
      </c>
      <c r="C280" s="7" t="inlineStr">
        <is>
          <t>7.17.2.4 a)</t>
        </is>
      </c>
      <c r="D280" s="7" t="inlineStr">
        <is>
          <t>Kênh liên lạc chính và dự phòng khi xử lý sự cố</t>
        </is>
      </c>
      <c r="E280" s="11" t="inlineStr"/>
      <c r="F280" s="7" t="inlineStr">
        <is>
          <t>Danh sách kênh</t>
        </is>
      </c>
      <c r="G280" s="7" t="inlineStr"/>
      <c r="H280" s="11" t="inlineStr"/>
      <c r="I280" s="11" t="inlineStr"/>
    </row>
    <row r="281">
      <c r="A281" s="7" t="inlineStr">
        <is>
          <t>7.17</t>
        </is>
      </c>
      <c r="B281" s="7" t="inlineStr">
        <is>
          <t>Quản trị ứng phó sự cố an ninh mạng</t>
        </is>
      </c>
      <c r="C281" s="7" t="inlineStr">
        <is>
          <t>7.17.2.4 b)</t>
        </is>
      </c>
      <c r="D281" s="7" t="inlineStr">
        <is>
          <t>Cập nhật cơ chế liên lạc ≥ 1 lần/năm</t>
        </is>
      </c>
      <c r="E281" s="11" t="inlineStr"/>
      <c r="F281" s="7" t="inlineStr">
        <is>
          <t>Lịch sử cập nhật</t>
        </is>
      </c>
      <c r="G281" s="7" t="inlineStr"/>
      <c r="H281" s="11" t="inlineStr"/>
      <c r="I281" s="11" t="inlineStr"/>
    </row>
    <row r="282">
      <c r="A282" s="7" t="inlineStr">
        <is>
          <t>7.17</t>
        </is>
      </c>
      <c r="B282" s="7" t="inlineStr">
        <is>
          <t>Quản trị ứng phó sự cố an ninh mạng</t>
        </is>
      </c>
      <c r="C282" s="7" t="inlineStr">
        <is>
          <t>7.17.2.5</t>
        </is>
      </c>
      <c r="D282" s="7" t="inlineStr">
        <is>
          <t>Đánh giá sau sự cố (rút kinh nghiệm)</t>
        </is>
      </c>
      <c r="E282" s="11" t="inlineStr"/>
      <c r="F282" s="7" t="inlineStr">
        <is>
          <t>Báo cáo post-incident</t>
        </is>
      </c>
      <c r="G282" s="7" t="inlineStr"/>
      <c r="H282" s="11" t="inlineStr"/>
      <c r="I282" s="11" t="inlineStr"/>
    </row>
    <row r="283">
      <c r="A283" s="7" t="inlineStr">
        <is>
          <t>7.17</t>
        </is>
      </c>
      <c r="B283" s="7" t="inlineStr">
        <is>
          <t>Quản trị ứng phó sự cố an ninh mạng</t>
        </is>
      </c>
      <c r="C283" s="7" t="inlineStr">
        <is>
          <t>7.17.2.6</t>
        </is>
      </c>
      <c r="D283" s="7" t="inlineStr">
        <is>
          <t>Diễn tập kịch bản ứng phó ≥ 1 lần/năm</t>
        </is>
      </c>
      <c r="E283" s="11" t="inlineStr"/>
      <c r="F283" s="7" t="inlineStr">
        <is>
          <t>Kế hoạch, báo cáo diễn tập</t>
        </is>
      </c>
      <c r="G283" s="7" t="inlineStr"/>
      <c r="H283" s="11" t="inlineStr"/>
      <c r="I283" s="11" t="inlineStr"/>
    </row>
    <row r="284">
      <c r="A284" s="7" t="inlineStr">
        <is>
          <t>7.17</t>
        </is>
      </c>
      <c r="B284" s="7" t="inlineStr">
        <is>
          <t>Quản trị ứng phó sự cố an ninh mạng</t>
        </is>
      </c>
      <c r="C284" s="7" t="inlineStr">
        <is>
          <t>7.17.2.7 a)</t>
        </is>
      </c>
      <c r="D284" s="7" t="inlineStr">
        <is>
          <t>Thiết lập ngưỡng sự cố ANM</t>
        </is>
      </c>
      <c r="E284" s="11" t="inlineStr"/>
      <c r="F284" s="7" t="inlineStr">
        <is>
          <t>Bảng ngưỡng</t>
        </is>
      </c>
      <c r="G284" s="7" t="inlineStr"/>
      <c r="H284" s="11" t="inlineStr"/>
      <c r="I284" s="11" t="inlineStr"/>
    </row>
    <row r="285">
      <c r="A285" s="7" t="inlineStr">
        <is>
          <t>7.17</t>
        </is>
      </c>
      <c r="B285" s="7" t="inlineStr">
        <is>
          <t>Quản trị ứng phó sự cố an ninh mạng</t>
        </is>
      </c>
      <c r="C285" s="7" t="inlineStr">
        <is>
          <t>7.17.2.7 b)</t>
        </is>
      </c>
      <c r="D285" s="7" t="inlineStr">
        <is>
          <t>Cập nhật ngưỡng sự cố ≥ 1 lần/6 tháng</t>
        </is>
      </c>
      <c r="E285" s="11" t="inlineStr"/>
      <c r="F285" s="7" t="inlineStr">
        <is>
          <t>Lịch sử cập nhật</t>
        </is>
      </c>
      <c r="G285" s="7" t="inlineStr">
        <is>
          <t>Mới/khác so với cấp 4</t>
        </is>
      </c>
      <c r="H285" s="11" t="inlineStr"/>
      <c r="I285" s="11" t="inlineStr"/>
    </row>
    <row r="286">
      <c r="A286" s="7" t="inlineStr">
        <is>
          <t>7.18</t>
        </is>
      </c>
      <c r="B286" s="7" t="inlineStr">
        <is>
          <t>Quản lý kiểm tra an ninh mạng (kiểm thử xâm nhập)</t>
        </is>
      </c>
      <c r="C286" s="7" t="inlineStr">
        <is>
          <t>7.18.2.1 a)</t>
        </is>
      </c>
      <c r="D286" s="7" t="inlineStr">
        <is>
          <t>Chương trình kiểm thử xâm nhập phù hợp quy mô, độ phức tạp của tổ chức</t>
        </is>
      </c>
      <c r="E286" s="11" t="inlineStr"/>
      <c r="F286" s="7" t="inlineStr">
        <is>
          <t>Chương trình pentest</t>
        </is>
      </c>
      <c r="G286" s="7" t="inlineStr"/>
      <c r="H286" s="11" t="inlineStr"/>
      <c r="I286" s="11" t="inlineStr"/>
    </row>
    <row r="287">
      <c r="A287" s="7" t="inlineStr">
        <is>
          <t>7.18</t>
        </is>
      </c>
      <c r="B287" s="7" t="inlineStr">
        <is>
          <t>Quản lý kiểm tra an ninh mạng (kiểm thử xâm nhập)</t>
        </is>
      </c>
      <c r="C287" s="7" t="inlineStr">
        <is>
          <t>7.18.2.1 b)</t>
        </is>
      </c>
      <c r="D287" s="7" t="inlineStr">
        <is>
          <t>Mỗi đợt được phê duyệt phạm vi, thời gian, phương pháp, đầu mối, xử lý dữ liệu; tránh gián đoạn dịch vụ</t>
        </is>
      </c>
      <c r="E287" s="11" t="inlineStr"/>
      <c r="F287" s="7" t="inlineStr">
        <is>
          <t>Phê duyệt kế hoạch pentest (RoE)</t>
        </is>
      </c>
      <c r="G287" s="7" t="inlineStr"/>
      <c r="H287" s="11" t="inlineStr"/>
      <c r="I287" s="11" t="inlineStr"/>
    </row>
    <row r="288">
      <c r="A288" s="7" t="inlineStr">
        <is>
          <t>7.18</t>
        </is>
      </c>
      <c r="B288" s="7" t="inlineStr">
        <is>
          <t>Quản lý kiểm tra an ninh mạng (kiểm thử xâm nhập)</t>
        </is>
      </c>
      <c r="C288" s="7" t="inlineStr">
        <is>
          <t>7.18.2.1 b)</t>
        </is>
      </c>
      <c r="D288" s="7" t="inlineStr">
        <is>
          <t>Chương trình xác định phạm vi, tần suất (quý/nửa năm/năm/đột xuất), hành vi bị cấm, cách tổ chức phản ứng</t>
        </is>
      </c>
      <c r="E288" s="11" t="inlineStr"/>
      <c r="F288" s="7" t="inlineStr">
        <is>
          <t>Chương trình pentest</t>
        </is>
      </c>
      <c r="G288" s="7" t="inlineStr"/>
      <c r="H288" s="11" t="inlineStr"/>
      <c r="I288" s="11" t="inlineStr"/>
    </row>
    <row r="289">
      <c r="A289" s="7" t="inlineStr">
        <is>
          <t>7.18</t>
        </is>
      </c>
      <c r="B289" s="7" t="inlineStr">
        <is>
          <t>Quản lý kiểm tra an ninh mạng (kiểm thử xâm nhập)</t>
        </is>
      </c>
      <c r="C289" s="7" t="inlineStr">
        <is>
          <t>7.18.2.2</t>
        </is>
      </c>
      <c r="D289" s="7" t="inlineStr">
        <is>
          <t>Pentest từ bên ngoài ≥ 1 lần/6 tháng cho ứng dụng, dịch vụ công khai Internet</t>
        </is>
      </c>
      <c r="E289" s="11" t="inlineStr"/>
      <c r="F289" s="7" t="inlineStr">
        <is>
          <t>Báo cáo pentest ngoài</t>
        </is>
      </c>
      <c r="G289" s="7" t="inlineStr">
        <is>
          <t>Mới/khác so với cấp 4</t>
        </is>
      </c>
      <c r="H289" s="11" t="inlineStr"/>
      <c r="I289" s="11" t="inlineStr"/>
    </row>
    <row r="290">
      <c r="A290" s="7" t="inlineStr">
        <is>
          <t>7.18</t>
        </is>
      </c>
      <c r="B290" s="7" t="inlineStr">
        <is>
          <t>Quản lý kiểm tra an ninh mạng (kiểm thử xâm nhập)</t>
        </is>
      </c>
      <c r="C290" s="7" t="inlineStr">
        <is>
          <t>7.18.2.3</t>
        </is>
      </c>
      <c r="D290" s="7" t="inlineStr">
        <is>
          <t>Khắc phục phát hiện từ pentest theo chính sách ưu tiên</t>
        </is>
      </c>
      <c r="E290" s="11" t="inlineStr"/>
      <c r="F290" s="7" t="inlineStr">
        <is>
          <t>Kế hoạch khắc phục, retest</t>
        </is>
      </c>
      <c r="G290" s="7" t="inlineStr"/>
      <c r="H290" s="11" t="inlineStr"/>
      <c r="I290" s="11" t="inlineStr"/>
    </row>
    <row r="291">
      <c r="A291" s="7" t="inlineStr">
        <is>
          <t>7.18</t>
        </is>
      </c>
      <c r="B291" s="7" t="inlineStr">
        <is>
          <t>Quản lý kiểm tra an ninh mạng (kiểm thử xâm nhập)</t>
        </is>
      </c>
      <c r="C291" s="7" t="inlineStr">
        <is>
          <t>7.18.2.4</t>
        </is>
      </c>
      <c r="D291" s="7" t="inlineStr">
        <is>
          <t>Đánh giá lại hiệu quả biện pháp bảo mật sau mỗi đợt pentest</t>
        </is>
      </c>
      <c r="E291" s="11" t="inlineStr"/>
      <c r="F291" s="7" t="inlineStr">
        <is>
          <t>Báo cáo đánh giá</t>
        </is>
      </c>
      <c r="G291" s="7" t="inlineStr"/>
      <c r="H291" s="11" t="inlineStr"/>
      <c r="I291" s="11" t="inlineStr"/>
    </row>
    <row r="292">
      <c r="A292" s="7" t="inlineStr">
        <is>
          <t>7.18</t>
        </is>
      </c>
      <c r="B292" s="7" t="inlineStr">
        <is>
          <t>Quản lý kiểm tra an ninh mạng (kiểm thử xâm nhập)</t>
        </is>
      </c>
      <c r="C292" s="7" t="inlineStr">
        <is>
          <t>7.18.2.5</t>
        </is>
      </c>
      <c r="D292" s="7" t="inlineStr">
        <is>
          <t>Pentest từ bên trong ≥ 1 lần/6 tháng cho tài nguyên nội bộ</t>
        </is>
      </c>
      <c r="E292" s="11" t="inlineStr"/>
      <c r="F292" s="7" t="inlineStr">
        <is>
          <t>Báo cáo pentest trong</t>
        </is>
      </c>
      <c r="G292" s="7" t="inlineStr">
        <is>
          <t>Mới/khác so với cấp 4</t>
        </is>
      </c>
      <c r="H292" s="11" t="inlineStr"/>
      <c r="I292" s="11" t="inlineStr"/>
    </row>
  </sheetData>
  <autoFilter ref="A4:I292"/>
  <conditionalFormatting sqref="E5:E292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292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2026-09-24T10:07:06Z</dcterms:created>
  <dcterms:modified xmlns:dcterms="http://purl.org/dc/terms/" xmlns:xsi="http://www.w3.org/2001/XMLSchema-instance" xsi:type="dcterms:W3CDTF">2026-09-24T10:07:06Z</dcterms:modified>
</cp:coreProperties>
</file>