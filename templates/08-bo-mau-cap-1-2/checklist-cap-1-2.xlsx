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A. Danh mục HTTT" sheetId="3" state="visible" r:id="rId3"/>
    <sheet xmlns:r="http://schemas.openxmlformats.org/officeDocument/2006/relationships" name="B. Checklist" sheetId="4" state="visible" r:id="rId4"/>
    <sheet xmlns:r="http://schemas.openxmlformats.org/officeDocument/2006/relationships" name="C. Lịch định kỳ" sheetId="5" state="visible" r:id="rId5"/>
    <sheet xmlns:r="http://schemas.openxmlformats.org/officeDocument/2006/relationships" name="D. Sổ sự cố" sheetId="6" state="visible" r:id="rId6"/>
    <sheet xmlns:r="http://schemas.openxmlformats.org/officeDocument/2006/relationships" name="E. Kế hoạch khắc phục" sheetId="7" state="visible" r:id="rId7"/>
  </sheets>
  <definedNames>
    <definedName name="_xlnm._FilterDatabase" localSheetId="2" hidden="1">'A. Danh mục HTTT'!$A$4:$H$18</definedName>
    <definedName name="_xlnm.Print_Titles" localSheetId="2">'A. Danh mục HTTT'!$4:$4</definedName>
    <definedName name="_xlnm._FilterDatabase" localSheetId="3" hidden="1">'B. Checklist'!$A$4:$L$137</definedName>
    <definedName name="_xlnm.Print_Titles" localSheetId="3">'B. Checklist'!$4:$4</definedName>
    <definedName name="_xlnm._FilterDatabase" localSheetId="4" hidden="1">'C. Lịch định kỳ'!$A$4:$D$31</definedName>
    <definedName name="_xlnm.Print_Titles" localSheetId="4">'C. Lịch định kỳ'!$4:$4</definedName>
    <definedName name="_xlnm._FilterDatabase" localSheetId="5" hidden="1">'D. Sổ sự cố'!$A$4:$M$35</definedName>
    <definedName name="_xlnm.Print_Titles" localSheetId="5">'D. Sổ sự cố'!$4:$4</definedName>
    <definedName name="_xlnm._FilterDatabase" localSheetId="6" hidden="1">'E. Kế hoạch khắc phục'!$A$4:$H$37</definedName>
    <definedName name="_xlnm.Print_Titles" localSheetId="6">'E. Kế hoạch khắc phục'!$4:$4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3" fillId="4" borderId="1" pivotButton="0" quotePrefix="0" xfId="0"/>
    <xf numFmtId="9" fontId="3" fillId="4" borderId="1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ont>
        <name val="Times New Roman"/>
        <color rgb="00999999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BẢNG TÍNH QUẢN LÝ AN NINH MẠNG — HTTT CẤP ĐỘ 1, CẤP ĐỘ 2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3" t="inlineStr">
        <is>
          <t>Tổ chức (chủ quản)</t>
        </is>
      </c>
      <c r="B4" s="4" t="inlineStr">
        <is>
          <t>Công ty cổ phần Giải pháp Công nghệ TURBO</t>
        </is>
      </c>
    </row>
    <row r="5">
      <c r="A5" s="3" t="inlineStr">
        <is>
          <t>Cấp độ đánh giá (nhập 1 hoặc 2)</t>
        </is>
      </c>
      <c r="B5" s="5" t="n">
        <v>2</v>
      </c>
    </row>
    <row r="7" ht="32" customHeight="1">
      <c r="A7" s="6" t="inlineStr">
        <is>
          <t>1. Sheet 'A. Danh mục HTTT': danh sách hệ thống, cấp độ, tình trạng phê duyệt (nguồn cột 6 Mẫu 08).</t>
        </is>
      </c>
    </row>
    <row r="8" ht="32" customHeight="1">
      <c r="A8" s="6" t="inlineStr">
        <is>
          <t>2. Sheet 'B. Checklist': mỗi dòng là một yêu cầu TCVN 14423:2026 (mục 3 cấp 1, mục 4 cấp 2), diễn giải ngắn. Cột 'Áp dụng cho cấp đã chọn' tự tính theo ô Cấp độ ở trên. Ô vàng là ô cần điền; cột Kết quả chọn Đạt · Một phần · Chưa · N/A.</t>
        </is>
      </c>
    </row>
    <row r="9" ht="32" customHeight="1">
      <c r="A9" s="6" t="inlineStr">
        <is>
          <t>3. Dòng 'Chưa' / 'Một phần': chuyển sang sheet 'E. Kế hoạch khắc phục' (nguồn cột 10–11 Mẫu 08).</t>
        </is>
      </c>
    </row>
    <row r="10" ht="32" customHeight="1">
      <c r="A10" s="6" t="inlineStr">
        <is>
          <t>4. Sheet 'Tổng hợp' tự tính theo công thức; % Đạt = Đạt / (Số yêu cầu áp dụng − N/A).</t>
        </is>
      </c>
    </row>
    <row r="11" ht="32" customHeight="1">
      <c r="A11" s="6" t="inlineStr">
        <is>
          <t>5. Sheet 'C. Lịch định kỳ', 'D. Sổ sự cố': dùng quanh năm; căn cứ Kế hoạch ANM năm và Quy trình sự cố rút gọn.</t>
        </is>
      </c>
    </row>
    <row r="12" ht="32" customHeight="1">
      <c r="A12" s="6" t="inlineStr">
        <is>
          <t>6. Hệ thống nhiều cấp khác nhau: sao chép file, mỗi file một cấp; hoặc thêm cột Kết quả cho từng HTTT.</t>
        </is>
      </c>
    </row>
    <row r="13" ht="32" customHeight="1">
      <c r="A13" s="6" t="inlineStr">
        <is>
          <t>Nguồn: docs/08-bo-mau-cap-1-2/checklist-cap-1-2.md. Căn cứ: NĐ 331/2026/NĐ-CP Đ28.5, Đ29, Đ30, Đ31.2.c, Đ33.3, Đ36.</t>
        </is>
      </c>
    </row>
  </sheetData>
  <mergeCells count="7">
    <mergeCell ref="A7:B7"/>
    <mergeCell ref="A11:B11"/>
    <mergeCell ref="A10:B10"/>
    <mergeCell ref="A13:B13"/>
    <mergeCell ref="A9:B9"/>
    <mergeCell ref="A8:B8"/>
    <mergeCell ref="A12:B12"/>
  </mergeCells>
  <dataValidations count="1">
    <dataValidation sqref="B5" showDropDown="0" showInputMessage="0" showErrorMessage="0" allowBlank="0" error="Nhập 1 hoặc 2" type="whole" operator="between">
      <formula1>1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</cols>
  <sheetData>
    <row r="1">
      <c r="A1" s="1" t="inlineStr">
        <is>
          <t>TỔNG HỢP KẾT QUẢ TỰ ĐÁNH GIÁ</t>
        </is>
      </c>
    </row>
    <row r="2">
      <c r="A2" s="2" t="inlineStr">
        <is>
          <t>Tự tính từ sheet B theo cấp độ đã chọn ở sheet Hướng dẫn. % Đạt = Đạt / (Áp dụng − N/A).</t>
        </is>
      </c>
    </row>
    <row r="4">
      <c r="A4" s="7" t="inlineStr">
        <is>
          <t>Nhóm</t>
        </is>
      </c>
      <c r="B4" s="7" t="inlineStr">
        <is>
          <t>Số yêu cầu áp dụng</t>
        </is>
      </c>
      <c r="C4" s="7" t="inlineStr">
        <is>
          <t>Đạt</t>
        </is>
      </c>
      <c r="D4" s="7" t="inlineStr">
        <is>
          <t>Một phần</t>
        </is>
      </c>
      <c r="E4" s="7" t="inlineStr">
        <is>
          <t>Chưa</t>
        </is>
      </c>
      <c r="F4" s="7" t="inlineStr">
        <is>
          <t>N/A</t>
        </is>
      </c>
      <c r="G4" s="7" t="inlineStr">
        <is>
          <t>Chưa điền</t>
        </is>
      </c>
      <c r="H4" s="7" t="inlineStr">
        <is>
          <t>% Đạt</t>
        </is>
      </c>
    </row>
    <row r="5">
      <c r="A5" s="8" t="inlineStr">
        <is>
          <t>1. Rủi ro</t>
        </is>
      </c>
      <c r="B5" s="8">
        <f>COUNTIFS('B. Checklist'!$B$5:$B$137,A5,'B. Checklist'!$H$5:$H$137,"Có")</f>
        <v/>
      </c>
      <c r="C5" s="8">
        <f>COUNTIFS('B. Checklist'!$B$5:$B$137,A5,'B. Checklist'!$H$5:$H$137,"Có",'B. Checklist'!$I$5:$I$137,"Đạt")</f>
        <v/>
      </c>
      <c r="D5" s="8">
        <f>COUNTIFS('B. Checklist'!$B$5:$B$137,A5,'B. Checklist'!$H$5:$H$137,"Có",'B. Checklist'!$I$5:$I$137,"Một phần")</f>
        <v/>
      </c>
      <c r="E5" s="8">
        <f>COUNTIFS('B. Checklist'!$B$5:$B$137,A5,'B. Checklist'!$H$5:$H$137,"Có",'B. Checklist'!$I$5:$I$137,"Chưa")</f>
        <v/>
      </c>
      <c r="F5" s="8">
        <f>COUNTIFS('B. Checklist'!$B$5:$B$137,A5,'B. Checklist'!$H$5:$H$137,"Có",'B. Checklist'!$I$5:$I$137,"N/A")</f>
        <v/>
      </c>
      <c r="G5" s="8">
        <f>B5-SUM(C5:F5)</f>
        <v/>
      </c>
      <c r="H5" s="9">
        <f>IF(B5-F5=0,"",C5/(B5-F5))</f>
        <v/>
      </c>
    </row>
    <row r="6">
      <c r="A6" s="8" t="inlineStr">
        <is>
          <t>2. Tài sản phần cứng</t>
        </is>
      </c>
      <c r="B6" s="8">
        <f>COUNTIFS('B. Checklist'!$B$5:$B$137,A6,'B. Checklist'!$H$5:$H$137,"Có")</f>
        <v/>
      </c>
      <c r="C6" s="8">
        <f>COUNTIFS('B. Checklist'!$B$5:$B$137,A6,'B. Checklist'!$H$5:$H$137,"Có",'B. Checklist'!$I$5:$I$137,"Đạt")</f>
        <v/>
      </c>
      <c r="D6" s="8">
        <f>COUNTIFS('B. Checklist'!$B$5:$B$137,A6,'B. Checklist'!$H$5:$H$137,"Có",'B. Checklist'!$I$5:$I$137,"Một phần")</f>
        <v/>
      </c>
      <c r="E6" s="8">
        <f>COUNTIFS('B. Checklist'!$B$5:$B$137,A6,'B. Checklist'!$H$5:$H$137,"Có",'B. Checklist'!$I$5:$I$137,"Chưa")</f>
        <v/>
      </c>
      <c r="F6" s="8">
        <f>COUNTIFS('B. Checklist'!$B$5:$B$137,A6,'B. Checklist'!$H$5:$H$137,"Có",'B. Checklist'!$I$5:$I$137,"N/A")</f>
        <v/>
      </c>
      <c r="G6" s="8">
        <f>B6-SUM(C6:F6)</f>
        <v/>
      </c>
      <c r="H6" s="9">
        <f>IF(B6-F6=0,"",C6/(B6-F6))</f>
        <v/>
      </c>
    </row>
    <row r="7">
      <c r="A7" s="8" t="inlineStr">
        <is>
          <t>3. Tài sản phần mềm</t>
        </is>
      </c>
      <c r="B7" s="8">
        <f>COUNTIFS('B. Checklist'!$B$5:$B$137,A7,'B. Checklist'!$H$5:$H$137,"Có")</f>
        <v/>
      </c>
      <c r="C7" s="8">
        <f>COUNTIFS('B. Checklist'!$B$5:$B$137,A7,'B. Checklist'!$H$5:$H$137,"Có",'B. Checklist'!$I$5:$I$137,"Đạt")</f>
        <v/>
      </c>
      <c r="D7" s="8">
        <f>COUNTIFS('B. Checklist'!$B$5:$B$137,A7,'B. Checklist'!$H$5:$H$137,"Có",'B. Checklist'!$I$5:$I$137,"Một phần")</f>
        <v/>
      </c>
      <c r="E7" s="8">
        <f>COUNTIFS('B. Checklist'!$B$5:$B$137,A7,'B. Checklist'!$H$5:$H$137,"Có",'B. Checklist'!$I$5:$I$137,"Chưa")</f>
        <v/>
      </c>
      <c r="F7" s="8">
        <f>COUNTIFS('B. Checklist'!$B$5:$B$137,A7,'B. Checklist'!$H$5:$H$137,"Có",'B. Checklist'!$I$5:$I$137,"N/A")</f>
        <v/>
      </c>
      <c r="G7" s="8">
        <f>B7-SUM(C7:F7)</f>
        <v/>
      </c>
      <c r="H7" s="9">
        <f>IF(B7-F7=0,"",C7/(B7-F7))</f>
        <v/>
      </c>
    </row>
    <row r="8">
      <c r="A8" s="8" t="inlineStr">
        <is>
          <t>4. Tài sản thông tin</t>
        </is>
      </c>
      <c r="B8" s="8">
        <f>COUNTIFS('B. Checklist'!$B$5:$B$137,A8,'B. Checklist'!$H$5:$H$137,"Có")</f>
        <v/>
      </c>
      <c r="C8" s="8">
        <f>COUNTIFS('B. Checklist'!$B$5:$B$137,A8,'B. Checklist'!$H$5:$H$137,"Có",'B. Checklist'!$I$5:$I$137,"Đạt")</f>
        <v/>
      </c>
      <c r="D8" s="8">
        <f>COUNTIFS('B. Checklist'!$B$5:$B$137,A8,'B. Checklist'!$H$5:$H$137,"Có",'B. Checklist'!$I$5:$I$137,"Một phần")</f>
        <v/>
      </c>
      <c r="E8" s="8">
        <f>COUNTIFS('B. Checklist'!$B$5:$B$137,A8,'B. Checklist'!$H$5:$H$137,"Có",'B. Checklist'!$I$5:$I$137,"Chưa")</f>
        <v/>
      </c>
      <c r="F8" s="8">
        <f>COUNTIFS('B. Checklist'!$B$5:$B$137,A8,'B. Checklist'!$H$5:$H$137,"Có",'B. Checklist'!$I$5:$I$137,"N/A")</f>
        <v/>
      </c>
      <c r="G8" s="8">
        <f>B8-SUM(C8:F8)</f>
        <v/>
      </c>
      <c r="H8" s="9">
        <f>IF(B8-F8=0,"",C8/(B8-F8))</f>
        <v/>
      </c>
    </row>
    <row r="9">
      <c r="A9" s="8" t="inlineStr">
        <is>
          <t>5. Cấu hình an toàn</t>
        </is>
      </c>
      <c r="B9" s="8">
        <f>COUNTIFS('B. Checklist'!$B$5:$B$137,A9,'B. Checklist'!$H$5:$H$137,"Có")</f>
        <v/>
      </c>
      <c r="C9" s="8">
        <f>COUNTIFS('B. Checklist'!$B$5:$B$137,A9,'B. Checklist'!$H$5:$H$137,"Có",'B. Checklist'!$I$5:$I$137,"Đạt")</f>
        <v/>
      </c>
      <c r="D9" s="8">
        <f>COUNTIFS('B. Checklist'!$B$5:$B$137,A9,'B. Checklist'!$H$5:$H$137,"Có",'B. Checklist'!$I$5:$I$137,"Một phần")</f>
        <v/>
      </c>
      <c r="E9" s="8">
        <f>COUNTIFS('B. Checklist'!$B$5:$B$137,A9,'B. Checklist'!$H$5:$H$137,"Có",'B. Checklist'!$I$5:$I$137,"Chưa")</f>
        <v/>
      </c>
      <c r="F9" s="8">
        <f>COUNTIFS('B. Checklist'!$B$5:$B$137,A9,'B. Checklist'!$H$5:$H$137,"Có",'B. Checklist'!$I$5:$I$137,"N/A")</f>
        <v/>
      </c>
      <c r="G9" s="8">
        <f>B9-SUM(C9:F9)</f>
        <v/>
      </c>
      <c r="H9" s="9">
        <f>IF(B9-F9=0,"",C9/(B9-F9))</f>
        <v/>
      </c>
    </row>
    <row r="10">
      <c r="A10" s="8" t="inlineStr">
        <is>
          <t>6. Tài khoản, quyền truy cập</t>
        </is>
      </c>
      <c r="B10" s="8">
        <f>COUNTIFS('B. Checklist'!$B$5:$B$137,A10,'B. Checklist'!$H$5:$H$137,"Có")</f>
        <v/>
      </c>
      <c r="C10" s="8">
        <f>COUNTIFS('B. Checklist'!$B$5:$B$137,A10,'B. Checklist'!$H$5:$H$137,"Có",'B. Checklist'!$I$5:$I$137,"Đạt")</f>
        <v/>
      </c>
      <c r="D10" s="8">
        <f>COUNTIFS('B. Checklist'!$B$5:$B$137,A10,'B. Checklist'!$H$5:$H$137,"Có",'B. Checklist'!$I$5:$I$137,"Một phần")</f>
        <v/>
      </c>
      <c r="E10" s="8">
        <f>COUNTIFS('B. Checklist'!$B$5:$B$137,A10,'B. Checklist'!$H$5:$H$137,"Có",'B. Checklist'!$I$5:$I$137,"Chưa")</f>
        <v/>
      </c>
      <c r="F10" s="8">
        <f>COUNTIFS('B. Checklist'!$B$5:$B$137,A10,'B. Checklist'!$H$5:$H$137,"Có",'B. Checklist'!$I$5:$I$137,"N/A")</f>
        <v/>
      </c>
      <c r="G10" s="8">
        <f>B10-SUM(C10:F10)</f>
        <v/>
      </c>
      <c r="H10" s="9">
        <f>IF(B10-F10=0,"",C10/(B10-F10))</f>
        <v/>
      </c>
    </row>
    <row r="11">
      <c r="A11" s="8" t="inlineStr">
        <is>
          <t>7. Lỗ hổng bảo mật</t>
        </is>
      </c>
      <c r="B11" s="8">
        <f>COUNTIFS('B. Checklist'!$B$5:$B$137,A11,'B. Checklist'!$H$5:$H$137,"Có")</f>
        <v/>
      </c>
      <c r="C11" s="8">
        <f>COUNTIFS('B. Checklist'!$B$5:$B$137,A11,'B. Checklist'!$H$5:$H$137,"Có",'B. Checklist'!$I$5:$I$137,"Đạt")</f>
        <v/>
      </c>
      <c r="D11" s="8">
        <f>COUNTIFS('B. Checklist'!$B$5:$B$137,A11,'B. Checklist'!$H$5:$H$137,"Có",'B. Checklist'!$I$5:$I$137,"Một phần")</f>
        <v/>
      </c>
      <c r="E11" s="8">
        <f>COUNTIFS('B. Checklist'!$B$5:$B$137,A11,'B. Checklist'!$H$5:$H$137,"Có",'B. Checklist'!$I$5:$I$137,"Chưa")</f>
        <v/>
      </c>
      <c r="F11" s="8">
        <f>COUNTIFS('B. Checklist'!$B$5:$B$137,A11,'B. Checklist'!$H$5:$H$137,"Có",'B. Checklist'!$I$5:$I$137,"N/A")</f>
        <v/>
      </c>
      <c r="G11" s="8">
        <f>B11-SUM(C11:F11)</f>
        <v/>
      </c>
      <c r="H11" s="9">
        <f>IF(B11-F11=0,"",C11/(B11-F11))</f>
        <v/>
      </c>
    </row>
    <row r="12">
      <c r="A12" s="8" t="inlineStr">
        <is>
          <t>8. Nhật ký ANM</t>
        </is>
      </c>
      <c r="B12" s="8">
        <f>COUNTIFS('B. Checklist'!$B$5:$B$137,A12,'B. Checklist'!$H$5:$H$137,"Có")</f>
        <v/>
      </c>
      <c r="C12" s="8">
        <f>COUNTIFS('B. Checklist'!$B$5:$B$137,A12,'B. Checklist'!$H$5:$H$137,"Có",'B. Checklist'!$I$5:$I$137,"Đạt")</f>
        <v/>
      </c>
      <c r="D12" s="8">
        <f>COUNTIFS('B. Checklist'!$B$5:$B$137,A12,'B. Checklist'!$H$5:$H$137,"Có",'B. Checklist'!$I$5:$I$137,"Một phần")</f>
        <v/>
      </c>
      <c r="E12" s="8">
        <f>COUNTIFS('B. Checklist'!$B$5:$B$137,A12,'B. Checklist'!$H$5:$H$137,"Có",'B. Checklist'!$I$5:$I$137,"Chưa")</f>
        <v/>
      </c>
      <c r="F12" s="8">
        <f>COUNTIFS('B. Checklist'!$B$5:$B$137,A12,'B. Checklist'!$H$5:$H$137,"Có",'B. Checklist'!$I$5:$I$137,"N/A")</f>
        <v/>
      </c>
      <c r="G12" s="8">
        <f>B12-SUM(C12:F12)</f>
        <v/>
      </c>
      <c r="H12" s="9">
        <f>IF(B12-F12=0,"",C12/(B12-F12))</f>
        <v/>
      </c>
    </row>
    <row r="13">
      <c r="A13" s="8" t="inlineStr">
        <is>
          <t>9. Trình duyệt, thư điện tử</t>
        </is>
      </c>
      <c r="B13" s="8">
        <f>COUNTIFS('B. Checklist'!$B$5:$B$137,A13,'B. Checklist'!$H$5:$H$137,"Có")</f>
        <v/>
      </c>
      <c r="C13" s="8">
        <f>COUNTIFS('B. Checklist'!$B$5:$B$137,A13,'B. Checklist'!$H$5:$H$137,"Có",'B. Checklist'!$I$5:$I$137,"Đạt")</f>
        <v/>
      </c>
      <c r="D13" s="8">
        <f>COUNTIFS('B. Checklist'!$B$5:$B$137,A13,'B. Checklist'!$H$5:$H$137,"Có",'B. Checklist'!$I$5:$I$137,"Một phần")</f>
        <v/>
      </c>
      <c r="E13" s="8">
        <f>COUNTIFS('B. Checklist'!$B$5:$B$137,A13,'B. Checklist'!$H$5:$H$137,"Có",'B. Checklist'!$I$5:$I$137,"Chưa")</f>
        <v/>
      </c>
      <c r="F13" s="8">
        <f>COUNTIFS('B. Checklist'!$B$5:$B$137,A13,'B. Checklist'!$H$5:$H$137,"Có",'B. Checklist'!$I$5:$I$137,"N/A")</f>
        <v/>
      </c>
      <c r="G13" s="8">
        <f>B13-SUM(C13:F13)</f>
        <v/>
      </c>
      <c r="H13" s="9">
        <f>IF(B13-F13=0,"",C13/(B13-F13))</f>
        <v/>
      </c>
    </row>
    <row r="14">
      <c r="A14" s="8" t="inlineStr">
        <is>
          <t>10. Phòng chống mã độc</t>
        </is>
      </c>
      <c r="B14" s="8">
        <f>COUNTIFS('B. Checklist'!$B$5:$B$137,A14,'B. Checklist'!$H$5:$H$137,"Có")</f>
        <v/>
      </c>
      <c r="C14" s="8">
        <f>COUNTIFS('B. Checklist'!$B$5:$B$137,A14,'B. Checklist'!$H$5:$H$137,"Có",'B. Checklist'!$I$5:$I$137,"Đạt")</f>
        <v/>
      </c>
      <c r="D14" s="8">
        <f>COUNTIFS('B. Checklist'!$B$5:$B$137,A14,'B. Checklist'!$H$5:$H$137,"Có",'B. Checklist'!$I$5:$I$137,"Một phần")</f>
        <v/>
      </c>
      <c r="E14" s="8">
        <f>COUNTIFS('B. Checklist'!$B$5:$B$137,A14,'B. Checklist'!$H$5:$H$137,"Có",'B. Checklist'!$I$5:$I$137,"Chưa")</f>
        <v/>
      </c>
      <c r="F14" s="8">
        <f>COUNTIFS('B. Checklist'!$B$5:$B$137,A14,'B. Checklist'!$H$5:$H$137,"Có",'B. Checklist'!$I$5:$I$137,"N/A")</f>
        <v/>
      </c>
      <c r="G14" s="8">
        <f>B14-SUM(C14:F14)</f>
        <v/>
      </c>
      <c r="H14" s="9">
        <f>IF(B14-F14=0,"",C14/(B14-F14))</f>
        <v/>
      </c>
    </row>
    <row r="15">
      <c r="A15" s="8" t="inlineStr">
        <is>
          <t>11. Sao lưu, khôi phục</t>
        </is>
      </c>
      <c r="B15" s="8">
        <f>COUNTIFS('B. Checklist'!$B$5:$B$137,A15,'B. Checklist'!$H$5:$H$137,"Có")</f>
        <v/>
      </c>
      <c r="C15" s="8">
        <f>COUNTIFS('B. Checklist'!$B$5:$B$137,A15,'B. Checklist'!$H$5:$H$137,"Có",'B. Checklist'!$I$5:$I$137,"Đạt")</f>
        <v/>
      </c>
      <c r="D15" s="8">
        <f>COUNTIFS('B. Checklist'!$B$5:$B$137,A15,'B. Checklist'!$H$5:$H$137,"Có",'B. Checklist'!$I$5:$I$137,"Một phần")</f>
        <v/>
      </c>
      <c r="E15" s="8">
        <f>COUNTIFS('B. Checklist'!$B$5:$B$137,A15,'B. Checklist'!$H$5:$H$137,"Có",'B. Checklist'!$I$5:$I$137,"Chưa")</f>
        <v/>
      </c>
      <c r="F15" s="8">
        <f>COUNTIFS('B. Checklist'!$B$5:$B$137,A15,'B. Checklist'!$H$5:$H$137,"Có",'B. Checklist'!$I$5:$I$137,"N/A")</f>
        <v/>
      </c>
      <c r="G15" s="8">
        <f>B15-SUM(C15:F15)</f>
        <v/>
      </c>
      <c r="H15" s="9">
        <f>IF(B15-F15=0,"",C15/(B15-F15))</f>
        <v/>
      </c>
    </row>
    <row r="16">
      <c r="A16" s="8" t="inlineStr">
        <is>
          <t>12. Hạ tầng mạng</t>
        </is>
      </c>
      <c r="B16" s="8">
        <f>COUNTIFS('B. Checklist'!$B$5:$B$137,A16,'B. Checklist'!$H$5:$H$137,"Có")</f>
        <v/>
      </c>
      <c r="C16" s="8">
        <f>COUNTIFS('B. Checklist'!$B$5:$B$137,A16,'B. Checklist'!$H$5:$H$137,"Có",'B. Checklist'!$I$5:$I$137,"Đạt")</f>
        <v/>
      </c>
      <c r="D16" s="8">
        <f>COUNTIFS('B. Checklist'!$B$5:$B$137,A16,'B. Checklist'!$H$5:$H$137,"Có",'B. Checklist'!$I$5:$I$137,"Một phần")</f>
        <v/>
      </c>
      <c r="E16" s="8">
        <f>COUNTIFS('B. Checklist'!$B$5:$B$137,A16,'B. Checklist'!$H$5:$H$137,"Có",'B. Checklist'!$I$5:$I$137,"Chưa")</f>
        <v/>
      </c>
      <c r="F16" s="8">
        <f>COUNTIFS('B. Checklist'!$B$5:$B$137,A16,'B. Checklist'!$H$5:$H$137,"Có",'B. Checklist'!$I$5:$I$137,"N/A")</f>
        <v/>
      </c>
      <c r="G16" s="8">
        <f>B16-SUM(C16:F16)</f>
        <v/>
      </c>
      <c r="H16" s="9">
        <f>IF(B16-F16=0,"",C16/(B16-F16))</f>
        <v/>
      </c>
    </row>
    <row r="17">
      <c r="A17" s="8" t="inlineStr">
        <is>
          <t>13. Nhân sự</t>
        </is>
      </c>
      <c r="B17" s="8">
        <f>COUNTIFS('B. Checklist'!$B$5:$B$137,A17,'B. Checklist'!$H$5:$H$137,"Có")</f>
        <v/>
      </c>
      <c r="C17" s="8">
        <f>COUNTIFS('B. Checklist'!$B$5:$B$137,A17,'B. Checklist'!$H$5:$H$137,"Có",'B. Checklist'!$I$5:$I$137,"Đạt")</f>
        <v/>
      </c>
      <c r="D17" s="8">
        <f>COUNTIFS('B. Checklist'!$B$5:$B$137,A17,'B. Checklist'!$H$5:$H$137,"Có",'B. Checklist'!$I$5:$I$137,"Một phần")</f>
        <v/>
      </c>
      <c r="E17" s="8">
        <f>COUNTIFS('B. Checklist'!$B$5:$B$137,A17,'B. Checklist'!$H$5:$H$137,"Có",'B. Checklist'!$I$5:$I$137,"Chưa")</f>
        <v/>
      </c>
      <c r="F17" s="8">
        <f>COUNTIFS('B. Checklist'!$B$5:$B$137,A17,'B. Checklist'!$H$5:$H$137,"Có",'B. Checklist'!$I$5:$I$137,"N/A")</f>
        <v/>
      </c>
      <c r="G17" s="8">
        <f>B17-SUM(C17:F17)</f>
        <v/>
      </c>
      <c r="H17" s="9">
        <f>IF(B17-F17=0,"",C17/(B17-F17))</f>
        <v/>
      </c>
    </row>
    <row r="18">
      <c r="A18" s="8" t="inlineStr">
        <is>
          <t>14. Nhà cung cấp</t>
        </is>
      </c>
      <c r="B18" s="8">
        <f>COUNTIFS('B. Checklist'!$B$5:$B$137,A18,'B. Checklist'!$H$5:$H$137,"Có")</f>
        <v/>
      </c>
      <c r="C18" s="8">
        <f>COUNTIFS('B. Checklist'!$B$5:$B$137,A18,'B. Checklist'!$H$5:$H$137,"Có",'B. Checklist'!$I$5:$I$137,"Đạt")</f>
        <v/>
      </c>
      <c r="D18" s="8">
        <f>COUNTIFS('B. Checklist'!$B$5:$B$137,A18,'B. Checklist'!$H$5:$H$137,"Có",'B. Checklist'!$I$5:$I$137,"Một phần")</f>
        <v/>
      </c>
      <c r="E18" s="8">
        <f>COUNTIFS('B. Checklist'!$B$5:$B$137,A18,'B. Checklist'!$H$5:$H$137,"Có",'B. Checklist'!$I$5:$I$137,"Chưa")</f>
        <v/>
      </c>
      <c r="F18" s="8">
        <f>COUNTIFS('B. Checklist'!$B$5:$B$137,A18,'B. Checklist'!$H$5:$H$137,"Có",'B. Checklist'!$I$5:$I$137,"N/A")</f>
        <v/>
      </c>
      <c r="G18" s="8">
        <f>B18-SUM(C18:F18)</f>
        <v/>
      </c>
      <c r="H18" s="9">
        <f>IF(B18-F18=0,"",C18/(B18-F18))</f>
        <v/>
      </c>
    </row>
    <row r="19">
      <c r="A19" s="8" t="inlineStr">
        <is>
          <t>15. Ứng phó sự cố</t>
        </is>
      </c>
      <c r="B19" s="8">
        <f>COUNTIFS('B. Checklist'!$B$5:$B$137,A19,'B. Checklist'!$H$5:$H$137,"Có")</f>
        <v/>
      </c>
      <c r="C19" s="8">
        <f>COUNTIFS('B. Checklist'!$B$5:$B$137,A19,'B. Checklist'!$H$5:$H$137,"Có",'B. Checklist'!$I$5:$I$137,"Đạt")</f>
        <v/>
      </c>
      <c r="D19" s="8">
        <f>COUNTIFS('B. Checklist'!$B$5:$B$137,A19,'B. Checklist'!$H$5:$H$137,"Có",'B. Checklist'!$I$5:$I$137,"Một phần")</f>
        <v/>
      </c>
      <c r="E19" s="8">
        <f>COUNTIFS('B. Checklist'!$B$5:$B$137,A19,'B. Checklist'!$H$5:$H$137,"Có",'B. Checklist'!$I$5:$I$137,"Chưa")</f>
        <v/>
      </c>
      <c r="F19" s="8">
        <f>COUNTIFS('B. Checklist'!$B$5:$B$137,A19,'B. Checklist'!$H$5:$H$137,"Có",'B. Checklist'!$I$5:$I$137,"N/A")</f>
        <v/>
      </c>
      <c r="G19" s="8">
        <f>B19-SUM(C19:F19)</f>
        <v/>
      </c>
      <c r="H19" s="9">
        <f>IF(B19-F19=0,"",C19/(B19-F19))</f>
        <v/>
      </c>
    </row>
    <row r="20">
      <c r="A20" s="10" t="inlineStr">
        <is>
          <t>Tổng</t>
        </is>
      </c>
      <c r="B20" s="10">
        <f>SUM(B5:B19)</f>
        <v/>
      </c>
      <c r="C20" s="10">
        <f>SUM(C5:C19)</f>
        <v/>
      </c>
      <c r="D20" s="10">
        <f>SUM(D5:D19)</f>
        <v/>
      </c>
      <c r="E20" s="10">
        <f>SUM(E5:E19)</f>
        <v/>
      </c>
      <c r="F20" s="10">
        <f>SUM(F5:F19)</f>
        <v/>
      </c>
      <c r="G20" s="10">
        <f>SUM(G5:G19)</f>
        <v/>
      </c>
      <c r="H20" s="11">
        <f>IF(B20-F20=0,"",C20/(B20-F20))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6" customWidth="1" min="1" max="1"/>
    <col width="40" customWidth="1" min="2" max="2"/>
    <col width="40" customWidth="1" min="3" max="3"/>
    <col width="22.7" customWidth="1" min="4" max="4"/>
    <col width="8" customWidth="1" min="5" max="5"/>
    <col width="17.3" customWidth="1" min="6" max="6"/>
    <col width="33.5" customWidth="1" min="7" max="7"/>
    <col width="29.9" customWidth="1" min="8" max="8"/>
  </cols>
  <sheetData>
    <row r="1">
      <c r="A1" s="1" t="inlineStr">
        <is>
          <t>A. DANH MỤC HỆ THỐNG THÔNG TIN</t>
        </is>
      </c>
    </row>
    <row r="2">
      <c r="A2" s="2" t="inlineStr">
        <is>
          <t>Hàng mẫu minh họa (dữ liệu mô phỏng) — thay bằng dữ liệu của tổ chức.</t>
        </is>
      </c>
    </row>
    <row r="4">
      <c r="A4" s="7" t="inlineStr">
        <is>
          <t>Mã</t>
        </is>
      </c>
      <c r="B4" s="7" t="inlineStr">
        <is>
          <t>Tên HTTT</t>
        </is>
      </c>
      <c r="C4" s="7" t="inlineStr">
        <is>
          <t>Phạm vi, thông tin xử lý</t>
        </is>
      </c>
      <c r="D4" s="7" t="inlineStr">
        <is>
          <t>Đơn vị vận hành</t>
        </is>
      </c>
      <c r="E4" s="7" t="inlineStr">
        <is>
          <t>Cấp độ</t>
        </is>
      </c>
      <c r="F4" s="7" t="inlineStr">
        <is>
          <t>Tiêu chí (NĐ 331)</t>
        </is>
      </c>
      <c r="G4" s="7" t="inlineStr">
        <is>
          <t>Tình trạng phê duyệt (Mẫu 08 cột 6)</t>
        </is>
      </c>
      <c r="H4" s="7" t="inlineStr">
        <is>
          <t>QĐ phê duyệt</t>
        </is>
      </c>
    </row>
    <row r="5">
      <c r="A5" s="8" t="inlineStr">
        <is>
          <t>HT-02-INTRANET</t>
        </is>
      </c>
      <c r="B5" s="8" t="inlineStr">
        <is>
          <t>Cổng thông tin nội bộ (Intranet) – văn phòng điện tử, thư điện tử nội bộ</t>
        </is>
      </c>
      <c r="C5" s="8" t="inlineStr">
        <is>
          <t>Nội bộ; văn bản điều hành, thông tin cá nhân nhân viên; thư điện tử trên dịch vụ đám mây</t>
        </is>
      </c>
      <c r="D5" s="8" t="inlineStr">
        <is>
          <t>Phòng Vận hành hệ thống</t>
        </is>
      </c>
      <c r="E5" s="8" t="inlineStr">
        <is>
          <t>2</t>
        </is>
      </c>
      <c r="F5" s="8" t="inlineStr">
        <is>
          <t>Đ12.1</t>
        </is>
      </c>
      <c r="G5" s="8" t="inlineStr">
        <is>
          <t>Đã được phê duyệt</t>
        </is>
      </c>
      <c r="H5" s="8" t="inlineStr">
        <is>
          <t>03/2026/QĐ-PANM ngày 26/10/2026</t>
        </is>
      </c>
    </row>
    <row r="6">
      <c r="A6" s="8" t="inlineStr">
        <is>
          <t>HT-03-ERP</t>
        </is>
      </c>
      <c r="B6" s="8" t="inlineStr">
        <is>
          <t>Hệ thống kế toán – nhân sự nội bộ (ERP)</t>
        </is>
      </c>
      <c r="C6" s="8" t="inlineStr">
        <is>
          <t>Nội bộ; dữ liệu kế toán, tiền lương, hồ sơ nhân sự</t>
        </is>
      </c>
      <c r="D6" s="8" t="inlineStr">
        <is>
          <t>Phòng Vận hành hệ thống</t>
        </is>
      </c>
      <c r="E6" s="8" t="inlineStr">
        <is>
          <t>2</t>
        </is>
      </c>
      <c r="F6" s="8" t="inlineStr">
        <is>
          <t>Đ12.1</t>
        </is>
      </c>
      <c r="G6" s="8" t="inlineStr">
        <is>
          <t>Đã được phê duyệt</t>
        </is>
      </c>
      <c r="H6" s="8" t="inlineStr">
        <is>
          <t>03/2026/QĐ-PANM ngày 26/10/2026</t>
        </is>
      </c>
    </row>
    <row r="7">
      <c r="A7" s="8" t="inlineStr">
        <is>
          <t>HT-04-LAN</t>
        </is>
      </c>
      <c r="B7" s="8" t="inlineStr">
        <is>
          <t>Hạ tầng mạng nội bộ trụ sở (LAN, Wi-Fi, Active Directory)</t>
        </is>
      </c>
      <c r="C7" s="8" t="inlineStr">
        <is>
          <t>Hạ tầng phục vụ một tổ chức; tài khoản nhân viên</t>
        </is>
      </c>
      <c r="D7" s="8" t="inlineStr">
        <is>
          <t>Phòng Vận hành hệ thống</t>
        </is>
      </c>
      <c r="E7" s="8" t="inlineStr">
        <is>
          <t>2</t>
        </is>
      </c>
      <c r="F7" s="8" t="inlineStr">
        <is>
          <t>Đ12.3</t>
        </is>
      </c>
      <c r="G7" s="8" t="inlineStr">
        <is>
          <t>Đã được phê duyệt</t>
        </is>
      </c>
      <c r="H7" s="8" t="inlineStr">
        <is>
          <t>03/2026/QĐ-PANM ngày 26/10/2026</t>
        </is>
      </c>
    </row>
    <row r="8">
      <c r="A8" s="8" t="inlineStr">
        <is>
          <t>HT-05-BANGTIN</t>
        </is>
      </c>
      <c r="B8" s="8" t="inlineStr">
        <is>
          <t>Hệ thống màn hình bảng tin điện tử tại sảnh</t>
        </is>
      </c>
      <c r="C8" s="8" t="inlineStr">
        <is>
          <t>Chỉ hiển thị thông tin công khai; không có tài khoản người dùng</t>
        </is>
      </c>
      <c r="D8" s="8" t="inlineStr">
        <is>
          <t>Phòng Vận hành hệ thống</t>
        </is>
      </c>
      <c r="E8" s="8" t="inlineStr">
        <is>
          <t>1</t>
        </is>
      </c>
      <c r="F8" s="8" t="inlineStr">
        <is>
          <t>Đ11.1</t>
        </is>
      </c>
      <c r="G8" s="8" t="inlineStr">
        <is>
          <t>Đã được phê duyệt</t>
        </is>
      </c>
      <c r="H8" s="8" t="inlineStr">
        <is>
          <t>03/2026/QĐ-PANM ngày 26/10/2026</t>
        </is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</sheetData>
  <autoFilter ref="A4:H1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7"/>
  <sheetViews>
    <sheetView workbookViewId="0">
      <pane xSplit="3" ySplit="4" topLeftCell="D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52" customWidth="1" min="3" max="3"/>
    <col width="11" customWidth="1" min="4" max="4"/>
    <col width="11" customWidth="1" min="5" max="5"/>
    <col width="13" customWidth="1" min="6" max="6"/>
    <col width="30" customWidth="1" min="7" max="7"/>
    <col width="11" customWidth="1" min="8" max="8"/>
    <col width="11" customWidth="1" min="9" max="9"/>
    <col width="28" customWidth="1" min="10" max="10"/>
    <col width="16" customWidth="1" min="11" max="11"/>
    <col width="12" customWidth="1" min="12" max="12"/>
  </cols>
  <sheetData>
    <row r="1">
      <c r="A1" s="1" t="inlineStr">
        <is>
          <t>B. CHECKLIST TCVN 14423:2026 MỤC 3 (CẤP 1) VÀ MỤC 4 (CẤP 2)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7" t="inlineStr">
        <is>
          <t>Mã</t>
        </is>
      </c>
      <c r="B4" s="7" t="inlineStr">
        <is>
          <t>Nhóm</t>
        </is>
      </c>
      <c r="C4" s="7" t="inlineStr">
        <is>
          <t>Yêu cầu (diễn giải ngắn)</t>
        </is>
      </c>
      <c r="D4" s="7" t="inlineStr">
        <is>
          <t>Mục TCVN cấp 1</t>
        </is>
      </c>
      <c r="E4" s="7" t="inlineStr">
        <is>
          <t>Mục TCVN cấp 2</t>
        </is>
      </c>
      <c r="F4" s="7" t="inlineStr">
        <is>
          <t>Áp dụng</t>
        </is>
      </c>
      <c r="G4" s="7" t="inlineStr">
        <is>
          <t>Bằng chứng gợi ý</t>
        </is>
      </c>
      <c r="H4" s="7" t="inlineStr">
        <is>
          <t>Áp dụng cho cấp đã chọn</t>
        </is>
      </c>
      <c r="I4" s="7" t="inlineStr">
        <is>
          <t>Kết quả</t>
        </is>
      </c>
      <c r="J4" s="7" t="inlineStr">
        <is>
          <t>Ghi chú, bằng chứng thực tế</t>
        </is>
      </c>
      <c r="K4" s="7" t="inlineStr">
        <is>
          <t>Người phụ trách</t>
        </is>
      </c>
      <c r="L4" s="7" t="inlineStr">
        <is>
          <t>Hạn khắc phục</t>
        </is>
      </c>
    </row>
    <row r="5">
      <c r="A5" s="8" t="inlineStr">
        <is>
          <t>C12-01-01</t>
        </is>
      </c>
      <c r="B5" s="8" t="inlineStr">
        <is>
          <t>1. Rủi ro</t>
        </is>
      </c>
      <c r="C5" s="8" t="inlineStr">
        <is>
          <t>Ban hành quy định/quy trình quản lý rủi ro đủ 4 bước: nhận diện, phân tích, đánh giá, xử lý</t>
        </is>
      </c>
      <c r="D5" s="8" t="inlineStr">
        <is>
          <t>3.1 a)</t>
        </is>
      </c>
      <c r="E5" s="8" t="inlineStr">
        <is>
          <t>4.1 a)</t>
        </is>
      </c>
      <c r="F5" s="8" t="inlineStr">
        <is>
          <t>C1+C2</t>
        </is>
      </c>
      <c r="G5" s="8" t="inlineStr">
        <is>
          <t>Quy trình QLRR đã ký ban hành</t>
        </is>
      </c>
      <c r="H5" s="13">
        <f>IF('Hướng dẫn'!$B$5=1,IF(LEFT(F5,6)="chỉ C2","Không","Có"),IF(LEFT(F5,6)="chỉ C1","Khuyến nghị","Có"))</f>
        <v/>
      </c>
      <c r="I5" s="12" t="n"/>
      <c r="J5" s="12" t="n"/>
      <c r="K5" s="12" t="n"/>
      <c r="L5" s="12" t="n"/>
    </row>
    <row r="6">
      <c r="A6" s="8" t="inlineStr">
        <is>
          <t>C12-01-02</t>
        </is>
      </c>
      <c r="B6" s="8" t="inlineStr">
        <is>
          <t>1. Rủi ro</t>
        </is>
      </c>
      <c r="C6" s="8" t="inlineStr">
        <is>
          <t>Rà soát quy trình QLRR và tài liệu kèm theo ≥ 1 lần/năm hoặc khi tổ chức thay đổi</t>
        </is>
      </c>
      <c r="D6" s="8" t="inlineStr">
        <is>
          <t>3.1 b)</t>
        </is>
      </c>
      <c r="E6" s="8" t="inlineStr">
        <is>
          <t>4.1 b)</t>
        </is>
      </c>
      <c r="F6" s="8" t="inlineStr">
        <is>
          <t>C1+C2</t>
        </is>
      </c>
      <c r="G6" s="8" t="inlineStr">
        <is>
          <t>Biên bản rà soát, lịch sử phiên bản</t>
        </is>
      </c>
      <c r="H6" s="13">
        <f>IF('Hướng dẫn'!$B$5=1,IF(LEFT(F6,6)="chỉ C2","Không","Có"),IF(LEFT(F6,6)="chỉ C1","Khuyến nghị","Có"))</f>
        <v/>
      </c>
      <c r="I6" s="12" t="n"/>
      <c r="J6" s="12" t="n"/>
      <c r="K6" s="12" t="n"/>
      <c r="L6" s="12" t="n"/>
    </row>
    <row r="7">
      <c r="A7" s="8" t="inlineStr">
        <is>
          <t>C12-02-01</t>
        </is>
      </c>
      <c r="B7" s="8" t="inlineStr">
        <is>
          <t>2. Tài sản phần cứng</t>
        </is>
      </c>
      <c r="C7" s="8" t="inlineStr">
        <is>
          <t>Danh mục toàn bộ phần cứng của HTTT, kể cả thiết bị bên ngoài có kết nối vào; xác định tài sản cần giám sát</t>
        </is>
      </c>
      <c r="D7" s="8" t="inlineStr">
        <is>
          <t>3.2.1 a)</t>
        </is>
      </c>
      <c r="E7" s="8" t="inlineStr">
        <is>
          <t>4.2.1 a)</t>
        </is>
      </c>
      <c r="F7" s="8" t="inlineStr">
        <is>
          <t>C1+C2</t>
        </is>
      </c>
      <c r="G7" s="8" t="inlineStr">
        <is>
          <t>Danh mục tài sản phần cứng</t>
        </is>
      </c>
      <c r="H7" s="13">
        <f>IF('Hướng dẫn'!$B$5=1,IF(LEFT(F7,6)="chỉ C2","Không","Có"),IF(LEFT(F7,6)="chỉ C1","Khuyến nghị","Có"))</f>
        <v/>
      </c>
      <c r="I7" s="12" t="n"/>
      <c r="J7" s="12" t="n"/>
      <c r="K7" s="12" t="n"/>
      <c r="L7" s="12" t="n"/>
    </row>
    <row r="8">
      <c r="A8" s="8" t="inlineStr">
        <is>
          <t>C12-02-02</t>
        </is>
      </c>
      <c r="B8" s="8" t="inlineStr">
        <is>
          <t>2. Tài sản phần cứng</t>
        </is>
      </c>
      <c r="C8" s="8" t="inlineStr">
        <is>
          <t>Phát hiện tài sản vô chủ/trái phép để loại bỏ hoặc đưa vào quản lý</t>
        </is>
      </c>
      <c r="D8" s="8" t="inlineStr">
        <is>
          <t>3.2.1 b)</t>
        </is>
      </c>
      <c r="E8" s="8" t="inlineStr">
        <is>
          <t>4.2.1 b)</t>
        </is>
      </c>
      <c r="F8" s="8" t="inlineStr">
        <is>
          <t>C1+C2</t>
        </is>
      </c>
      <c r="G8" s="8" t="inlineStr">
        <is>
          <t>Báo cáo rà soát tài sản</t>
        </is>
      </c>
      <c r="H8" s="13">
        <f>IF('Hướng dẫn'!$B$5=1,IF(LEFT(F8,6)="chỉ C2","Không","Có"),IF(LEFT(F8,6)="chỉ C1","Khuyến nghị","Có"))</f>
        <v/>
      </c>
      <c r="I8" s="12" t="n"/>
      <c r="J8" s="12" t="n"/>
      <c r="K8" s="12" t="n"/>
      <c r="L8" s="12" t="n"/>
    </row>
    <row r="9">
      <c r="A9" s="8" t="inlineStr">
        <is>
          <t>C12-02-03</t>
        </is>
      </c>
      <c r="B9" s="8" t="inlineStr">
        <is>
          <t>2. Tài sản phần cứng</t>
        </is>
      </c>
      <c r="C9" s="8" t="inlineStr">
        <is>
          <t>Kiểm kê, cập nhật danh mục ≥ 1 lần/năm (C1: phần cứng; C2: mọi tài sản của HTTT)</t>
        </is>
      </c>
      <c r="D9" s="8" t="inlineStr">
        <is>
          <t>3.2.1 c)</t>
        </is>
      </c>
      <c r="E9" s="8" t="inlineStr">
        <is>
          <t>4.2.1 c)</t>
        </is>
      </c>
      <c r="F9" s="8" t="inlineStr">
        <is>
          <t>C1+C2</t>
        </is>
      </c>
      <c r="G9" s="8" t="inlineStr">
        <is>
          <t>Biên bản kiểm kê</t>
        </is>
      </c>
      <c r="H9" s="13">
        <f>IF('Hướng dẫn'!$B$5=1,IF(LEFT(F9,6)="chỉ C2","Không","Có"),IF(LEFT(F9,6)="chỉ C1","Khuyến nghị","Có"))</f>
        <v/>
      </c>
      <c r="I9" s="12" t="n"/>
      <c r="J9" s="12" t="n"/>
      <c r="K9" s="12" t="n"/>
      <c r="L9" s="12" t="n"/>
    </row>
    <row r="10">
      <c r="A10" s="8" t="inlineStr">
        <is>
          <t>C12-02-04</t>
        </is>
      </c>
      <c r="B10" s="8" t="inlineStr">
        <is>
          <t>2. Tài sản phần cứng</t>
        </is>
      </c>
      <c r="C10" s="8" t="inlineStr">
        <is>
          <t>Danh mục phủ mọi thiết bị lưu trữ/xử lý dữ liệu: đầu cuối, di động, lưu trữ ngoài, văn phòng, mạng, OT/IoT, máy chủ vật lý/ảo/cloud</t>
        </is>
      </c>
      <c r="D10" s="8" t="inlineStr">
        <is>
          <t>3.2.2.1 a)</t>
        </is>
      </c>
      <c r="E10" s="8" t="inlineStr">
        <is>
          <t>4.2.2.1 a)</t>
        </is>
      </c>
      <c r="F10" s="8" t="inlineStr">
        <is>
          <t>C1+C2</t>
        </is>
      </c>
      <c r="G10" s="8" t="inlineStr">
        <is>
          <t>Danh mục tài sản (CMDB/bảng tính)</t>
        </is>
      </c>
      <c r="H10" s="13">
        <f>IF('Hướng dẫn'!$B$5=1,IF(LEFT(F10,6)="chỉ C2","Không","Có"),IF(LEFT(F10,6)="chỉ C1","Khuyến nghị","Có"))</f>
        <v/>
      </c>
      <c r="I10" s="12" t="n"/>
      <c r="J10" s="12" t="n"/>
      <c r="K10" s="12" t="n"/>
      <c r="L10" s="12" t="n"/>
    </row>
    <row r="11">
      <c r="A11" s="8" t="inlineStr">
        <is>
          <t>C12-02-05</t>
        </is>
      </c>
      <c r="B11" s="8" t="inlineStr">
        <is>
          <t>2. Tài sản phần cứng</t>
        </is>
      </c>
      <c r="C11" s="8" t="inlineStr">
        <is>
          <t>Trường tối thiểu: tên, IP tĩnh, MAC/serial, hạn hỗ trợ của hãng, vị trí địa lý và trong mạng, mục đích, tình trạng; gán người chịu trách nhiệm</t>
        </is>
      </c>
      <c r="D11" s="8" t="inlineStr">
        <is>
          <t>3.2.2.1 b)</t>
        </is>
      </c>
      <c r="E11" s="8" t="inlineStr">
        <is>
          <t>4.2.2.1 b)</t>
        </is>
      </c>
      <c r="F11" s="8" t="inlineStr">
        <is>
          <t>C1+C2</t>
        </is>
      </c>
      <c r="G11" s="8" t="inlineStr">
        <is>
          <t>Danh mục có đủ trường, cột người phụ trách</t>
        </is>
      </c>
      <c r="H11" s="13">
        <f>IF('Hướng dẫn'!$B$5=1,IF(LEFT(F11,6)="chỉ C2","Không","Có"),IF(LEFT(F11,6)="chỉ C1","Khuyến nghị","Có"))</f>
        <v/>
      </c>
      <c r="I11" s="12" t="n"/>
      <c r="J11" s="12" t="n"/>
      <c r="K11" s="12" t="n"/>
      <c r="L11" s="12" t="n"/>
    </row>
    <row r="12">
      <c r="A12" s="8" t="inlineStr">
        <is>
          <t>C12-02-06</t>
        </is>
      </c>
      <c r="B12" s="8" t="inlineStr">
        <is>
          <t>2. Tài sản phần cứng</t>
        </is>
      </c>
      <c r="C12" s="8" t="inlineStr">
        <is>
          <t>Đăng ký thiết bị di động được phép kết nối; quy định trách nhiệm cá nhân khi dùng cho công việc</t>
        </is>
      </c>
      <c r="D12" s="8" t="inlineStr">
        <is>
          <t>3.2.2.1 c)</t>
        </is>
      </c>
      <c r="E12" s="8" t="inlineStr">
        <is>
          <t>4.2.2.1 c)</t>
        </is>
      </c>
      <c r="F12" s="8" t="inlineStr">
        <is>
          <t>C1+C2</t>
        </is>
      </c>
      <c r="G12" s="8" t="inlineStr">
        <is>
          <t>Sổ đăng ký thiết bị di động, quy định sử dụng</t>
        </is>
      </c>
      <c r="H12" s="13">
        <f>IF('Hướng dẫn'!$B$5=1,IF(LEFT(F12,6)="chỉ C2","Không","Có"),IF(LEFT(F12,6)="chỉ C1","Khuyến nghị","Có"))</f>
        <v/>
      </c>
      <c r="I12" s="12" t="n"/>
      <c r="J12" s="12" t="n"/>
      <c r="K12" s="12" t="n"/>
      <c r="L12" s="12" t="n"/>
    </row>
    <row r="13">
      <c r="A13" s="8" t="inlineStr">
        <is>
          <t>C12-02-07</t>
        </is>
      </c>
      <c r="B13" s="8" t="inlineStr">
        <is>
          <t>2. Tài sản phần cứng</t>
        </is>
      </c>
      <c r="C13" s="8" t="inlineStr">
        <is>
          <t>Quy trình phát hiện, xử lý thiết bị lạ kết nối trái phép, thực hiện ≥ 1 lần/năm</t>
        </is>
      </c>
      <c r="D13" s="8" t="inlineStr">
        <is>
          <t>3.2.2.2 a)</t>
        </is>
      </c>
      <c r="E13" s="8" t="inlineStr">
        <is>
          <t>4.2.2.2 a)</t>
        </is>
      </c>
      <c r="F13" s="8" t="inlineStr">
        <is>
          <t>C1+C2</t>
        </is>
      </c>
      <c r="G13" s="8" t="inlineStr">
        <is>
          <t>Quy trình + kết quả các lần rà soát</t>
        </is>
      </c>
      <c r="H13" s="13">
        <f>IF('Hướng dẫn'!$B$5=1,IF(LEFT(F13,6)="chỉ C2","Không","Có"),IF(LEFT(F13,6)="chỉ C1","Khuyến nghị","Có"))</f>
        <v/>
      </c>
      <c r="I13" s="12" t="n"/>
      <c r="J13" s="12" t="n"/>
      <c r="K13" s="12" t="n"/>
      <c r="L13" s="12" t="n"/>
    </row>
    <row r="14">
      <c r="A14" s="8" t="inlineStr">
        <is>
          <t>C12-02-08</t>
        </is>
      </c>
      <c r="B14" s="8" t="inlineStr">
        <is>
          <t>2. Tài sản phần cứng</t>
        </is>
      </c>
      <c r="C14" s="8" t="inlineStr">
        <is>
          <t>Xử lý thiết bị trái phép bằng cách gỡ bỏ, từ chối kết nối hoặc cách ly</t>
        </is>
      </c>
      <c r="D14" s="8" t="inlineStr">
        <is>
          <t>3.2.2.2 b)</t>
        </is>
      </c>
      <c r="E14" s="8" t="inlineStr">
        <is>
          <t>4.2.2.2 b)</t>
        </is>
      </c>
      <c r="F14" s="8" t="inlineStr">
        <is>
          <t>C1+C2</t>
        </is>
      </c>
      <c r="G14" s="8" t="inlineStr">
        <is>
          <t>Nhật ký xử lý</t>
        </is>
      </c>
      <c r="H14" s="13">
        <f>IF('Hướng dẫn'!$B$5=1,IF(LEFT(F14,6)="chỉ C2","Không","Có"),IF(LEFT(F14,6)="chỉ C1","Khuyến nghị","Có"))</f>
        <v/>
      </c>
      <c r="I14" s="12" t="n"/>
      <c r="J14" s="12" t="n"/>
      <c r="K14" s="12" t="n"/>
      <c r="L14" s="12" t="n"/>
    </row>
    <row r="15">
      <c r="A15" s="8" t="inlineStr">
        <is>
          <t>C12-02-09</t>
        </is>
      </c>
      <c r="B15" s="8" t="inlineStr">
        <is>
          <t>2. Tài sản phần cứng</t>
        </is>
      </c>
      <c r="C15" s="8" t="inlineStr">
        <is>
          <t>Có phương án xóa sạch dữ liệu khi chuyển giao hoặc đổi mục đích sử dụng phần cứng</t>
        </is>
      </c>
      <c r="D15" s="8" t="inlineStr">
        <is>
          <t>—</t>
        </is>
      </c>
      <c r="E15" s="8" t="inlineStr">
        <is>
          <t>4.2.2.3</t>
        </is>
      </c>
      <c r="F15" s="8" t="inlineStr">
        <is>
          <t>chỉ C2</t>
        </is>
      </c>
      <c r="G15" s="8" t="inlineStr">
        <is>
          <t>Quy trình xóa dữ liệu, biên bản xóa</t>
        </is>
      </c>
      <c r="H15" s="13">
        <f>IF('Hướng dẫn'!$B$5=1,IF(LEFT(F15,6)="chỉ C2","Không","Có"),IF(LEFT(F15,6)="chỉ C1","Khuyến nghị","Có"))</f>
        <v/>
      </c>
      <c r="I15" s="12" t="n"/>
      <c r="J15" s="12" t="n"/>
      <c r="K15" s="12" t="n"/>
      <c r="L15" s="12" t="n"/>
    </row>
    <row r="16">
      <c r="A16" s="8" t="inlineStr">
        <is>
          <t>C12-03-01</t>
        </is>
      </c>
      <c r="B16" s="8" t="inlineStr">
        <is>
          <t>3. Tài sản phần mềm</t>
        </is>
      </c>
      <c r="C16" s="8" t="inlineStr">
        <is>
          <t>Quản lý danh mục phần mềm; chỉ phần mềm đã phê duyệt mới được cài và dùng</t>
        </is>
      </c>
      <c r="D16" s="8" t="inlineStr">
        <is>
          <t>3.3.1 a)</t>
        </is>
      </c>
      <c r="E16" s="8" t="inlineStr">
        <is>
          <t>4.3.1 a)</t>
        </is>
      </c>
      <c r="F16" s="8" t="inlineStr">
        <is>
          <t>C1+C2</t>
        </is>
      </c>
      <c r="G16" s="8" t="inlineStr">
        <is>
          <t>Danh mục phần mềm, quy trình phê duyệt</t>
        </is>
      </c>
      <c r="H16" s="13">
        <f>IF('Hướng dẫn'!$B$5=1,IF(LEFT(F16,6)="chỉ C2","Không","Có"),IF(LEFT(F16,6)="chỉ C1","Khuyến nghị","Có"))</f>
        <v/>
      </c>
      <c r="I16" s="12" t="n"/>
      <c r="J16" s="12" t="n"/>
      <c r="K16" s="12" t="n"/>
      <c r="L16" s="12" t="n"/>
    </row>
    <row r="17">
      <c r="A17" s="8" t="inlineStr">
        <is>
          <t>C12-03-02</t>
        </is>
      </c>
      <c r="B17" s="8" t="inlineStr">
        <is>
          <t>3. Tài sản phần mềm</t>
        </is>
      </c>
      <c r="C17" s="8" t="inlineStr">
        <is>
          <t>Kiểm kê, cập nhật danh mục phần mềm ≥ 1 lần/năm</t>
        </is>
      </c>
      <c r="D17" s="8" t="inlineStr">
        <is>
          <t>3.3.1 b)</t>
        </is>
      </c>
      <c r="E17" s="8" t="inlineStr">
        <is>
          <t>4.3.1 b)</t>
        </is>
      </c>
      <c r="F17" s="8" t="inlineStr">
        <is>
          <t>C1+C2</t>
        </is>
      </c>
      <c r="G17" s="8" t="inlineStr">
        <is>
          <t>Biên bản kiểm kê phần mềm</t>
        </is>
      </c>
      <c r="H17" s="13">
        <f>IF('Hướng dẫn'!$B$5=1,IF(LEFT(F17,6)="chỉ C2","Không","Có"),IF(LEFT(F17,6)="chỉ C1","Khuyến nghị","Có"))</f>
        <v/>
      </c>
      <c r="I17" s="12" t="n"/>
      <c r="J17" s="12" t="n"/>
      <c r="K17" s="12" t="n"/>
      <c r="L17" s="12" t="n"/>
    </row>
    <row r="18">
      <c r="A18" s="8" t="inlineStr">
        <is>
          <t>C12-03-03</t>
        </is>
      </c>
      <c r="B18" s="8" t="inlineStr">
        <is>
          <t>3. Tài sản phần mềm</t>
        </is>
      </c>
      <c r="C18" s="8" t="inlineStr">
        <is>
          <t>Lập danh mục phần mềm đang cài trên các thiết bị thuộc HTTT</t>
        </is>
      </c>
      <c r="D18" s="8" t="inlineStr">
        <is>
          <t>3.3.2.1 a)</t>
        </is>
      </c>
      <c r="E18" s="8" t="inlineStr">
        <is>
          <t>4.3.2.1 a)</t>
        </is>
      </c>
      <c r="F18" s="8" t="inlineStr">
        <is>
          <t>C1+C2</t>
        </is>
      </c>
      <c r="G18" s="8" t="inlineStr">
        <is>
          <t>Danh mục phần mềm (xuất từ công cụ inventory)</t>
        </is>
      </c>
      <c r="H18" s="13">
        <f>IF('Hướng dẫn'!$B$5=1,IF(LEFT(F18,6)="chỉ C2","Không","Có"),IF(LEFT(F18,6)="chỉ C1","Khuyến nghị","Có"))</f>
        <v/>
      </c>
      <c r="I18" s="12" t="n"/>
      <c r="J18" s="12" t="n"/>
      <c r="K18" s="12" t="n"/>
      <c r="L18" s="12" t="n"/>
    </row>
    <row r="19">
      <c r="A19" s="8" t="inlineStr">
        <is>
          <t>C12-03-04</t>
        </is>
      </c>
      <c r="B19" s="8" t="inlineStr">
        <is>
          <t>3. Tài sản phần mềm</t>
        </is>
      </c>
      <c r="C19" s="8" t="inlineStr">
        <is>
          <t>Trường tối thiểu: tên, mục đích, hạn hỗ trợ, phạm vi, chủ quản, bản quyền, phiên bản, hệ thống thành phần; gán trách nhiệm</t>
        </is>
      </c>
      <c r="D19" s="8" t="inlineStr">
        <is>
          <t>3.3.2.1 b)</t>
        </is>
      </c>
      <c r="E19" s="8" t="inlineStr">
        <is>
          <t>4.3.2.1 b)</t>
        </is>
      </c>
      <c r="F19" s="8" t="inlineStr">
        <is>
          <t>C1+C2</t>
        </is>
      </c>
      <c r="G19" s="8" t="inlineStr">
        <is>
          <t>Danh mục có đủ trường</t>
        </is>
      </c>
      <c r="H19" s="13">
        <f>IF('Hướng dẫn'!$B$5=1,IF(LEFT(F19,6)="chỉ C2","Không","Có"),IF(LEFT(F19,6)="chỉ C1","Khuyến nghị","Có"))</f>
        <v/>
      </c>
      <c r="I19" s="12" t="n"/>
      <c r="J19" s="12" t="n"/>
      <c r="K19" s="12" t="n"/>
      <c r="L19" s="12" t="n"/>
    </row>
    <row r="20">
      <c r="A20" s="8" t="inlineStr">
        <is>
          <t>C12-03-05</t>
        </is>
      </c>
      <c r="B20" s="8" t="inlineStr">
        <is>
          <t>3. Tài sản phần mềm</t>
        </is>
      </c>
      <c r="C20" s="8" t="inlineStr">
        <is>
          <t>Quy trình phát hiện, xử lý phần mềm trái phép ≥ 1 lần/năm</t>
        </is>
      </c>
      <c r="D20" s="8" t="inlineStr">
        <is>
          <t>3.3.2.2 a)</t>
        </is>
      </c>
      <c r="E20" s="8" t="inlineStr">
        <is>
          <t>4.3.2.2 a)</t>
        </is>
      </c>
      <c r="F20" s="8" t="inlineStr">
        <is>
          <t>C1+C2</t>
        </is>
      </c>
      <c r="G20" s="8" t="inlineStr">
        <is>
          <t>Quy trình + kết quả rà soát</t>
        </is>
      </c>
      <c r="H20" s="13">
        <f>IF('Hướng dẫn'!$B$5=1,IF(LEFT(F20,6)="chỉ C2","Không","Có"),IF(LEFT(F20,6)="chỉ C1","Khuyến nghị","Có"))</f>
        <v/>
      </c>
      <c r="I20" s="12" t="n"/>
      <c r="J20" s="12" t="n"/>
      <c r="K20" s="12" t="n"/>
      <c r="L20" s="12" t="n"/>
    </row>
    <row r="21">
      <c r="A21" s="8" t="inlineStr">
        <is>
          <t>C12-03-06</t>
        </is>
      </c>
      <c r="B21" s="8" t="inlineStr">
        <is>
          <t>3. Tài sản phần mềm</t>
        </is>
      </c>
      <c r="C21" s="8" t="inlineStr">
        <is>
          <t>Phần mềm trái phép nhưng cần thiết đưa vào danh sách ngoại lệ, kèm biện pháp giảm thiểu</t>
        </is>
      </c>
      <c r="D21" s="8" t="inlineStr">
        <is>
          <t>3.3.2.2 b)</t>
        </is>
      </c>
      <c r="E21" s="8" t="inlineStr">
        <is>
          <t>4.3.2.2 b)</t>
        </is>
      </c>
      <c r="F21" s="8" t="inlineStr">
        <is>
          <t>C1+C2</t>
        </is>
      </c>
      <c r="G21" s="8" t="inlineStr">
        <is>
          <t>Danh sách ngoại lệ có biện pháp kiểm soát</t>
        </is>
      </c>
      <c r="H21" s="13">
        <f>IF('Hướng dẫn'!$B$5=1,IF(LEFT(F21,6)="chỉ C2","Không","Có"),IF(LEFT(F21,6)="chỉ C1","Khuyến nghị","Có"))</f>
        <v/>
      </c>
      <c r="I21" s="12" t="n"/>
      <c r="J21" s="12" t="n"/>
      <c r="K21" s="12" t="n"/>
      <c r="L21" s="12" t="n"/>
    </row>
    <row r="22">
      <c r="A22" s="8" t="inlineStr">
        <is>
          <t>C12-03-07</t>
        </is>
      </c>
      <c r="B22" s="8" t="inlineStr">
        <is>
          <t>3. Tài sản phần mềm</t>
        </is>
      </c>
      <c r="C22" s="8" t="inlineStr">
        <is>
          <t>Lập kế hoạch gỡ sớm phần mềm trái phép ngoài danh sách ngoại lệ</t>
        </is>
      </c>
      <c r="D22" s="8" t="inlineStr">
        <is>
          <t>3.3.2.2 c)</t>
        </is>
      </c>
      <c r="E22" s="8" t="inlineStr">
        <is>
          <t>4.3.2.2 c)</t>
        </is>
      </c>
      <c r="F22" s="8" t="inlineStr">
        <is>
          <t>C1+C2</t>
        </is>
      </c>
      <c r="G22" s="8" t="inlineStr">
        <is>
          <t>Kế hoạch gỡ bỏ, bằng chứng đã gỡ</t>
        </is>
      </c>
      <c r="H22" s="13">
        <f>IF('Hướng dẫn'!$B$5=1,IF(LEFT(F22,6)="chỉ C2","Không","Có"),IF(LEFT(F22,6)="chỉ C1","Khuyến nghị","Có"))</f>
        <v/>
      </c>
      <c r="I22" s="12" t="n"/>
      <c r="J22" s="12" t="n"/>
      <c r="K22" s="12" t="n"/>
      <c r="L22" s="12" t="n"/>
    </row>
    <row r="23">
      <c r="A23" s="8" t="inlineStr">
        <is>
          <t>C12-03-08</t>
        </is>
      </c>
      <c r="B23" s="8" t="inlineStr">
        <is>
          <t>3. Tài sản phần mềm</t>
        </is>
      </c>
      <c r="C23" s="8" t="inlineStr">
        <is>
          <t>Phần mềm thuê khoán: có hợp đồng, cam kết bảo mật với bên phát triển</t>
        </is>
      </c>
      <c r="D23" s="8" t="inlineStr">
        <is>
          <t>—</t>
        </is>
      </c>
      <c r="E23" s="8" t="inlineStr">
        <is>
          <t>4.3.2.3 a)</t>
        </is>
      </c>
      <c r="F23" s="8" t="inlineStr">
        <is>
          <t>chỉ C2</t>
        </is>
      </c>
      <c r="G23" s="8" t="inlineStr">
        <is>
          <t>Hợp đồng, NDA</t>
        </is>
      </c>
      <c r="H23" s="13">
        <f>IF('Hướng dẫn'!$B$5=1,IF(LEFT(F23,6)="chỉ C2","Không","Có"),IF(LEFT(F23,6)="chỉ C1","Khuyến nghị","Có"))</f>
        <v/>
      </c>
      <c r="I23" s="12" t="n"/>
      <c r="J23" s="12" t="n"/>
      <c r="K23" s="12" t="n"/>
      <c r="L23" s="12" t="n"/>
    </row>
    <row r="24">
      <c r="A24" s="8" t="inlineStr">
        <is>
          <t>C12-03-09</t>
        </is>
      </c>
      <c r="B24" s="8" t="inlineStr">
        <is>
          <t>3. Tài sản phần mềm</t>
        </is>
      </c>
      <c r="C24" s="8" t="inlineStr">
        <is>
          <t>Yêu cầu bàn giao mã nguồn; nếu không được thì có chứng chỉ đánh giá độc lập hoặc kiểm thử xâm nhập + cam kết trách nhiệm pháp lý</t>
        </is>
      </c>
      <c r="D24" s="8" t="inlineStr">
        <is>
          <t>—</t>
        </is>
      </c>
      <c r="E24" s="8" t="inlineStr">
        <is>
          <t>4.3.2.3 b)</t>
        </is>
      </c>
      <c r="F24" s="8" t="inlineStr">
        <is>
          <t>chỉ C2</t>
        </is>
      </c>
      <c r="G24" s="8" t="inlineStr">
        <is>
          <t>Biên bản bàn giao mã nguồn/chứng chỉ/cam kết</t>
        </is>
      </c>
      <c r="H24" s="13">
        <f>IF('Hướng dẫn'!$B$5=1,IF(LEFT(F24,6)="chỉ C2","Không","Có"),IF(LEFT(F24,6)="chỉ C1","Khuyến nghị","Có"))</f>
        <v/>
      </c>
      <c r="I24" s="12" t="n"/>
      <c r="J24" s="12" t="n"/>
      <c r="K24" s="12" t="n"/>
      <c r="L24" s="12" t="n"/>
    </row>
    <row r="25">
      <c r="A25" s="8" t="inlineStr">
        <is>
          <t>C12-04-01</t>
        </is>
      </c>
      <c r="B25" s="8" t="inlineStr">
        <is>
          <t>4. Tài sản thông tin</t>
        </is>
      </c>
      <c r="C25" s="8" t="inlineStr">
        <is>
          <t>Quy định quản lý tài sản thông tin: danh mục, mức nhạy cảm, chủ sở hữu, cách xử lý, thời hạn lưu, yêu cầu tiêu hủy</t>
        </is>
      </c>
      <c r="D25" s="8" t="inlineStr">
        <is>
          <t>3.4.2.1 a)</t>
        </is>
      </c>
      <c r="E25" s="8" t="inlineStr">
        <is>
          <t>4.4.2.1 a)</t>
        </is>
      </c>
      <c r="F25" s="8" t="inlineStr">
        <is>
          <t>C1+C2</t>
        </is>
      </c>
      <c r="G25" s="8" t="inlineStr">
        <is>
          <t>Quy định quản lý tài sản thông tin</t>
        </is>
      </c>
      <c r="H25" s="13">
        <f>IF('Hướng dẫn'!$B$5=1,IF(LEFT(F25,6)="chỉ C2","Không","Có"),IF(LEFT(F25,6)="chỉ C1","Khuyến nghị","Có"))</f>
        <v/>
      </c>
      <c r="I25" s="12" t="n"/>
      <c r="J25" s="12" t="n"/>
      <c r="K25" s="12" t="n"/>
      <c r="L25" s="12" t="n"/>
    </row>
    <row r="26">
      <c r="A26" s="8" t="inlineStr">
        <is>
          <t>C12-04-02</t>
        </is>
      </c>
      <c r="B26" s="8" t="inlineStr">
        <is>
          <t>4. Tài sản thông tin</t>
        </is>
      </c>
      <c r="C26" s="8" t="inlineStr">
        <is>
          <t>Phân loại mức nhạy cảm (gợi ý 3 mức: công khai, nội bộ, hạn chế truy cập)</t>
        </is>
      </c>
      <c r="D26" s="8" t="inlineStr">
        <is>
          <t>—</t>
        </is>
      </c>
      <c r="E26" s="8" t="inlineStr">
        <is>
          <t>4.4.2.1 b)</t>
        </is>
      </c>
      <c r="F26" s="8" t="inlineStr">
        <is>
          <t>chỉ C2</t>
        </is>
      </c>
      <c r="G26" s="8" t="inlineStr">
        <is>
          <t>Bảng phân loại, nhãn dữ liệu</t>
        </is>
      </c>
      <c r="H26" s="13">
        <f>IF('Hướng dẫn'!$B$5=1,IF(LEFT(F26,6)="chỉ C2","Không","Có"),IF(LEFT(F26,6)="chỉ C1","Khuyến nghị","Có"))</f>
        <v/>
      </c>
      <c r="I26" s="12" t="n"/>
      <c r="J26" s="12" t="n"/>
      <c r="K26" s="12" t="n"/>
      <c r="L26" s="12" t="n"/>
    </row>
    <row r="27">
      <c r="A27" s="8" t="inlineStr">
        <is>
          <t>C12-04-03</t>
        </is>
      </c>
      <c r="B27" s="8" t="inlineStr">
        <is>
          <t>4. Tài sản thông tin</t>
        </is>
      </c>
      <c r="C27" s="8" t="inlineStr">
        <is>
          <t>Quy trình yêu cầu truy cập, thêm, sửa, xóa dữ liệu</t>
        </is>
      </c>
      <c r="D27" s="8" t="inlineStr">
        <is>
          <t>3.4.2.1 b)</t>
        </is>
      </c>
      <c r="E27" s="8" t="inlineStr">
        <is>
          <t>4.4.2.1 c)</t>
        </is>
      </c>
      <c r="F27" s="8" t="inlineStr">
        <is>
          <t>C1+C2</t>
        </is>
      </c>
      <c r="G27" s="8" t="inlineStr">
        <is>
          <t>Quy trình + phiếu yêu cầu</t>
        </is>
      </c>
      <c r="H27" s="13">
        <f>IF('Hướng dẫn'!$B$5=1,IF(LEFT(F27,6)="chỉ C2","Không","Có"),IF(LEFT(F27,6)="chỉ C1","Khuyến nghị","Có"))</f>
        <v/>
      </c>
      <c r="I27" s="12" t="n"/>
      <c r="J27" s="12" t="n"/>
      <c r="K27" s="12" t="n"/>
      <c r="L27" s="12" t="n"/>
    </row>
    <row r="28">
      <c r="A28" s="8" t="inlineStr">
        <is>
          <t>C12-04-04</t>
        </is>
      </c>
      <c r="B28" s="8" t="inlineStr">
        <is>
          <t>4. Tài sản thông tin</t>
        </is>
      </c>
      <c r="C28" s="8" t="inlineStr">
        <is>
          <t>Kiểm tra phân quyền dữ liệu ≥ 1 lần/năm</t>
        </is>
      </c>
      <c r="D28" s="8" t="inlineStr">
        <is>
          <t>3.4.2.1 c)</t>
        </is>
      </c>
      <c r="E28" s="8" t="inlineStr">
        <is>
          <t>4.4.2.1 d)</t>
        </is>
      </c>
      <c r="F28" s="8" t="inlineStr">
        <is>
          <t>C1+C2</t>
        </is>
      </c>
      <c r="G28" s="8" t="inlineStr">
        <is>
          <t>Biên bản rà soát phân quyền</t>
        </is>
      </c>
      <c r="H28" s="13">
        <f>IF('Hướng dẫn'!$B$5=1,IF(LEFT(F28,6)="chỉ C2","Không","Có"),IF(LEFT(F28,6)="chỉ C1","Khuyến nghị","Có"))</f>
        <v/>
      </c>
      <c r="I28" s="12" t="n"/>
      <c r="J28" s="12" t="n"/>
      <c r="K28" s="12" t="n"/>
      <c r="L28" s="12" t="n"/>
    </row>
    <row r="29">
      <c r="A29" s="8" t="inlineStr">
        <is>
          <t>C12-04-05</t>
        </is>
      </c>
      <c r="B29" s="8" t="inlineStr">
        <is>
          <t>4. Tài sản thông tin</t>
        </is>
      </c>
      <c r="C29" s="8" t="inlineStr">
        <is>
          <t>Rà soát quy trình quản lý tài sản thông tin ≥ 1 lần/năm hoặc khi thay đổi</t>
        </is>
      </c>
      <c r="D29" s="8" t="inlineStr">
        <is>
          <t>3.4.2.1 d)</t>
        </is>
      </c>
      <c r="E29" s="8" t="inlineStr">
        <is>
          <t>4.4.2.1 e)</t>
        </is>
      </c>
      <c r="F29" s="8" t="inlineStr">
        <is>
          <t>C1+C2</t>
        </is>
      </c>
      <c r="G29" s="8" t="inlineStr">
        <is>
          <t>Lịch sử phiên bản quy trình</t>
        </is>
      </c>
      <c r="H29" s="13">
        <f>IF('Hướng dẫn'!$B$5=1,IF(LEFT(F29,6)="chỉ C2","Không","Có"),IF(LEFT(F29,6)="chỉ C1","Khuyến nghị","Có"))</f>
        <v/>
      </c>
      <c r="I29" s="12" t="n"/>
      <c r="J29" s="12" t="n"/>
      <c r="K29" s="12" t="n"/>
      <c r="L29" s="12" t="n"/>
    </row>
    <row r="30">
      <c r="A30" s="8" t="inlineStr">
        <is>
          <t>C12-04-06</t>
        </is>
      </c>
      <c r="B30" s="8" t="inlineStr">
        <is>
          <t>4. Tài sản thông tin</t>
        </is>
      </c>
      <c r="C30" s="8" t="inlineStr">
        <is>
          <t>Lập danh mục tài sản thông tin theo quy trình đã ban hành</t>
        </is>
      </c>
      <c r="D30" s="8" t="inlineStr">
        <is>
          <t>3.4.2.2 a)</t>
        </is>
      </c>
      <c r="E30" s="8" t="inlineStr">
        <is>
          <t>4.4.2.2 a)</t>
        </is>
      </c>
      <c r="F30" s="8" t="inlineStr">
        <is>
          <t>C1+C2</t>
        </is>
      </c>
      <c r="G30" s="8" t="inlineStr">
        <is>
          <t>Danh mục tài sản thông tin</t>
        </is>
      </c>
      <c r="H30" s="13">
        <f>IF('Hướng dẫn'!$B$5=1,IF(LEFT(F30,6)="chỉ C2","Không","Có"),IF(LEFT(F30,6)="chỉ C1","Khuyến nghị","Có"))</f>
        <v/>
      </c>
      <c r="I30" s="12" t="n"/>
      <c r="J30" s="12" t="n"/>
      <c r="K30" s="12" t="n"/>
      <c r="L30" s="12" t="n"/>
    </row>
    <row r="31">
      <c r="A31" s="8" t="inlineStr">
        <is>
          <t>C12-04-07</t>
        </is>
      </c>
      <c r="B31" s="8" t="inlineStr">
        <is>
          <t>4. Tài sản thông tin</t>
        </is>
      </c>
      <c r="C31" s="8" t="inlineStr">
        <is>
          <t>Cập nhật danh mục tài sản thông tin ≥ 1 lần/năm hoặc khi thay đổi</t>
        </is>
      </c>
      <c r="D31" s="8" t="inlineStr">
        <is>
          <t>3.4.2.2 b)</t>
        </is>
      </c>
      <c r="E31" s="8" t="inlineStr">
        <is>
          <t>4.4.2.2 b)</t>
        </is>
      </c>
      <c r="F31" s="8" t="inlineStr">
        <is>
          <t>C1+C2</t>
        </is>
      </c>
      <c r="G31" s="8" t="inlineStr">
        <is>
          <t>Ngày cập nhật danh mục</t>
        </is>
      </c>
      <c r="H31" s="13">
        <f>IF('Hướng dẫn'!$B$5=1,IF(LEFT(F31,6)="chỉ C2","Không","Có"),IF(LEFT(F31,6)="chỉ C1","Khuyến nghị","Có"))</f>
        <v/>
      </c>
      <c r="I31" s="12" t="n"/>
      <c r="J31" s="12" t="n"/>
      <c r="K31" s="12" t="n"/>
      <c r="L31" s="12" t="n"/>
    </row>
    <row r="32">
      <c r="A32" s="8" t="inlineStr">
        <is>
          <t>C12-04-08</t>
        </is>
      </c>
      <c r="B32" s="8" t="inlineStr">
        <is>
          <t>4. Tài sản thông tin</t>
        </is>
      </c>
      <c r="C32" s="8" t="inlineStr">
        <is>
          <t>Ma trận quyền truy cập của từng tài khoản/người dùng với từng loại tài sản thông tin</t>
        </is>
      </c>
      <c r="D32" s="8" t="inlineStr">
        <is>
          <t>3.4.2.3</t>
        </is>
      </c>
      <c r="E32" s="8" t="inlineStr">
        <is>
          <t>4.4.2.3</t>
        </is>
      </c>
      <c r="F32" s="8" t="inlineStr">
        <is>
          <t>C1+C2</t>
        </is>
      </c>
      <c r="G32" s="8" t="inlineStr">
        <is>
          <t>Ma trận phân quyền (ACL)</t>
        </is>
      </c>
      <c r="H32" s="13">
        <f>IF('Hướng dẫn'!$B$5=1,IF(LEFT(F32,6)="chỉ C2","Không","Có"),IF(LEFT(F32,6)="chỉ C1","Khuyến nghị","Có"))</f>
        <v/>
      </c>
      <c r="I32" s="12" t="n"/>
      <c r="J32" s="12" t="n"/>
      <c r="K32" s="12" t="n"/>
      <c r="L32" s="12" t="n"/>
    </row>
    <row r="33">
      <c r="A33" s="8" t="inlineStr">
        <is>
          <t>C12-04-09</t>
        </is>
      </c>
      <c r="B33" s="8" t="inlineStr">
        <is>
          <t>4. Tài sản thông tin</t>
        </is>
      </c>
      <c r="C33" s="8" t="inlineStr">
        <is>
          <t>Mã hóa khi lưu: C1 thông tin xác thực; C2 thêm dữ liệu không công khai (hệ thống truy xuất lớn được dùng biện pháp tương đương)</t>
        </is>
      </c>
      <c r="D33" s="8" t="inlineStr">
        <is>
          <t>3.4.2.4</t>
        </is>
      </c>
      <c r="E33" s="8" t="inlineStr">
        <is>
          <t>4.4.2.4</t>
        </is>
      </c>
      <c r="F33" s="8" t="inlineStr">
        <is>
          <t>C1+C2</t>
        </is>
      </c>
      <c r="G33" s="8" t="inlineStr">
        <is>
          <t>Cấu hình mã hóa (DB/đĩa/hash mật khẩu)</t>
        </is>
      </c>
      <c r="H33" s="13">
        <f>IF('Hướng dẫn'!$B$5=1,IF(LEFT(F33,6)="chỉ C2","Không","Có"),IF(LEFT(F33,6)="chỉ C1","Khuyến nghị","Có"))</f>
        <v/>
      </c>
      <c r="I33" s="12" t="n"/>
      <c r="J33" s="12" t="n"/>
      <c r="K33" s="12" t="n"/>
      <c r="L33" s="12" t="n"/>
    </row>
    <row r="34">
      <c r="A34" s="8" t="inlineStr">
        <is>
          <t>C12-05-01</t>
        </is>
      </c>
      <c r="B34" s="8" t="inlineStr">
        <is>
          <t>5. Cấu hình an toàn</t>
        </is>
      </c>
      <c r="C34" s="8" t="inlineStr">
        <is>
          <t>Ban hành quy định/quy trình cấu hình an toàn cho phần cứng và phần mềm</t>
        </is>
      </c>
      <c r="D34" s="8" t="inlineStr">
        <is>
          <t>3.5.2.1 a)</t>
        </is>
      </c>
      <c r="E34" s="8" t="inlineStr">
        <is>
          <t>4.5.2.1 a)</t>
        </is>
      </c>
      <c r="F34" s="8" t="inlineStr">
        <is>
          <t>C1+C2</t>
        </is>
      </c>
      <c r="G34" s="8" t="inlineStr">
        <is>
          <t>Quy trình cấu hình an toàn</t>
        </is>
      </c>
      <c r="H34" s="13">
        <f>IF('Hướng dẫn'!$B$5=1,IF(LEFT(F34,6)="chỉ C2","Không","Có"),IF(LEFT(F34,6)="chỉ C1","Khuyến nghị","Có"))</f>
        <v/>
      </c>
      <c r="I34" s="12" t="n"/>
      <c r="J34" s="12" t="n"/>
      <c r="K34" s="12" t="n"/>
      <c r="L34" s="12" t="n"/>
    </row>
    <row r="35">
      <c r="A35" s="8" t="inlineStr">
        <is>
          <t>C12-05-02</t>
        </is>
      </c>
      <c r="B35" s="8" t="inlineStr">
        <is>
          <t>5. Cấu hình an toàn</t>
        </is>
      </c>
      <c r="C35" s="8" t="inlineStr">
        <is>
          <t>Tài liệu cấu hình chuẩn/hardening; giao thức an toàn; tường lửa host (C2: thêm chống tự động đăng nhập trên tài sản xử lý dữ liệu quan trọng)</t>
        </is>
      </c>
      <c r="D35" s="8" t="inlineStr">
        <is>
          <t>3.5.2.1 b)</t>
        </is>
      </c>
      <c r="E35" s="8" t="inlineStr">
        <is>
          <t>4.5.2.1 b)</t>
        </is>
      </c>
      <c r="F35" s="8" t="inlineStr">
        <is>
          <t>C1+C2</t>
        </is>
      </c>
      <c r="G35" s="8" t="inlineStr">
        <is>
          <t>Baseline cấu hình (vd theo CIS), ảnh chụp cấu hình</t>
        </is>
      </c>
      <c r="H35" s="13">
        <f>IF('Hướng dẫn'!$B$5=1,IF(LEFT(F35,6)="chỉ C2","Không","Có"),IF(LEFT(F35,6)="chỉ C1","Khuyến nghị","Có"))</f>
        <v/>
      </c>
      <c r="I35" s="12" t="n"/>
      <c r="J35" s="12" t="n"/>
      <c r="K35" s="12" t="n"/>
      <c r="L35" s="12" t="n"/>
    </row>
    <row r="36">
      <c r="A36" s="8" t="inlineStr">
        <is>
          <t>C12-05-03</t>
        </is>
      </c>
      <c r="B36" s="8" t="inlineStr">
        <is>
          <t>5. Cấu hình an toàn</t>
        </is>
      </c>
      <c r="C36" s="8" t="inlineStr">
        <is>
          <t>Tắt giao thức mạng không an toàn và dịch vụ không dùng</t>
        </is>
      </c>
      <c r="D36" s="8" t="inlineStr">
        <is>
          <t>—</t>
        </is>
      </c>
      <c r="E36" s="8" t="inlineStr">
        <is>
          <t>4.5.2.1 c)</t>
        </is>
      </c>
      <c r="F36" s="8" t="inlineStr">
        <is>
          <t>chỉ C2</t>
        </is>
      </c>
      <c r="G36" s="8" t="inlineStr">
        <is>
          <t>Kết quả quét cổng/dịch vụ</t>
        </is>
      </c>
      <c r="H36" s="13">
        <f>IF('Hướng dẫn'!$B$5=1,IF(LEFT(F36,6)="chỉ C2","Không","Có"),IF(LEFT(F36,6)="chỉ C1","Khuyến nghị","Có"))</f>
        <v/>
      </c>
      <c r="I36" s="12" t="n"/>
      <c r="J36" s="12" t="n"/>
      <c r="K36" s="12" t="n"/>
      <c r="L36" s="12" t="n"/>
    </row>
    <row r="37">
      <c r="A37" s="8" t="inlineStr">
        <is>
          <t>C12-05-04</t>
        </is>
      </c>
      <c r="B37" s="8" t="inlineStr">
        <is>
          <t>5. Cấu hình an toàn</t>
        </is>
      </c>
      <c r="C37" s="8" t="inlineStr">
        <is>
          <t>Rà soát quy định và tài liệu cấu hình ≥ 1 lần/năm hoặc khi thay đổi</t>
        </is>
      </c>
      <c r="D37" s="8" t="inlineStr">
        <is>
          <t>3.5.2.1 c)</t>
        </is>
      </c>
      <c r="E37" s="8" t="inlineStr">
        <is>
          <t>4.5.2.1 d)</t>
        </is>
      </c>
      <c r="F37" s="8" t="inlineStr">
        <is>
          <t>C1+C2</t>
        </is>
      </c>
      <c r="G37" s="8" t="inlineStr">
        <is>
          <t>Lịch sử phiên bản</t>
        </is>
      </c>
      <c r="H37" s="13">
        <f>IF('Hướng dẫn'!$B$5=1,IF(LEFT(F37,6)="chỉ C2","Không","Có"),IF(LEFT(F37,6)="chỉ C1","Khuyến nghị","Có"))</f>
        <v/>
      </c>
      <c r="I37" s="12" t="n"/>
      <c r="J37" s="12" t="n"/>
      <c r="K37" s="12" t="n"/>
      <c r="L37" s="12" t="n"/>
    </row>
    <row r="38">
      <c r="A38" s="8" t="inlineStr">
        <is>
          <t>C12-05-05</t>
        </is>
      </c>
      <c r="B38" s="8" t="inlineStr">
        <is>
          <t>5. Cấu hình an toàn</t>
        </is>
      </c>
      <c r="C38" s="8" t="inlineStr">
        <is>
          <t>Tự khóa phiên theo đánh giá rủi ro — gợi ý: máy người dùng ≤ 15'; phiên quản trị, di động ≤ 5' (C2: thêm phần mềm nghiệp vụ dữ liệu quan trọng ≤ 15')</t>
        </is>
      </c>
      <c r="D38" s="8" t="inlineStr">
        <is>
          <t>3.5.2.2 a)</t>
        </is>
      </c>
      <c r="E38" s="8" t="inlineStr">
        <is>
          <t>4.5.2.2 a)</t>
        </is>
      </c>
      <c r="F38" s="8" t="inlineStr">
        <is>
          <t>C1+C2</t>
        </is>
      </c>
      <c r="G38" s="8" t="inlineStr">
        <is>
          <t>GPO/MDM/cấu hình timeout</t>
        </is>
      </c>
      <c r="H38" s="13">
        <f>IF('Hướng dẫn'!$B$5=1,IF(LEFT(F38,6)="chỉ C2","Không","Có"),IF(LEFT(F38,6)="chỉ C1","Khuyến nghị","Có"))</f>
        <v/>
      </c>
      <c r="I38" s="12" t="n"/>
      <c r="J38" s="12" t="n"/>
      <c r="K38" s="12" t="n"/>
      <c r="L38" s="12" t="n"/>
    </row>
    <row r="39">
      <c r="A39" s="8" t="inlineStr">
        <is>
          <t>C12-05-06</t>
        </is>
      </c>
      <c r="B39" s="8" t="inlineStr">
        <is>
          <t>5. Cấu hình an toàn</t>
        </is>
      </c>
      <c r="C39" s="8" t="inlineStr">
        <is>
          <t>Khóa khi đăng nhập sai — gợi ý: laptop, điện thoại ≤ 10 lần; khóa 12 giờ–30 ngày (C2: thêm phần mềm nghiệp vụ dữ liệu quan trọng ≤ 5 lần)</t>
        </is>
      </c>
      <c r="D39" s="8" t="inlineStr">
        <is>
          <t>3.5.2.2 a)</t>
        </is>
      </c>
      <c r="E39" s="8" t="inlineStr">
        <is>
          <t>4.5.2.2 a)</t>
        </is>
      </c>
      <c r="F39" s="8" t="inlineStr">
        <is>
          <t>C1+C2</t>
        </is>
      </c>
      <c r="G39" s="8" t="inlineStr">
        <is>
          <t>Cấu hình lockout</t>
        </is>
      </c>
      <c r="H39" s="13">
        <f>IF('Hướng dẫn'!$B$5=1,IF(LEFT(F39,6)="chỉ C2","Không","Có"),IF(LEFT(F39,6)="chỉ C1","Khuyến nghị","Có"))</f>
        <v/>
      </c>
      <c r="I39" s="12" t="n"/>
      <c r="J39" s="12" t="n"/>
      <c r="K39" s="12" t="n"/>
      <c r="L39" s="12" t="n"/>
    </row>
    <row r="40">
      <c r="A40" s="8" t="inlineStr">
        <is>
          <t>C12-05-07</t>
        </is>
      </c>
      <c r="B40" s="8" t="inlineStr">
        <is>
          <t>5. Cấu hình an toàn</t>
        </is>
      </c>
      <c r="C40" s="8" t="inlineStr">
        <is>
          <t>Có cơ chế mở khóa khẩn cấp cho quản trị viên/tài khoản đặc quyền</t>
        </is>
      </c>
      <c r="D40" s="8" t="inlineStr">
        <is>
          <t>3.5.2.2 b)</t>
        </is>
      </c>
      <c r="E40" s="8" t="inlineStr">
        <is>
          <t>4.5.2.2 b)</t>
        </is>
      </c>
      <c r="F40" s="8" t="inlineStr">
        <is>
          <t>C1+C2</t>
        </is>
      </c>
      <c r="G40" s="8" t="inlineStr">
        <is>
          <t>Quy trình break-glass</t>
        </is>
      </c>
      <c r="H40" s="13">
        <f>IF('Hướng dẫn'!$B$5=1,IF(LEFT(F40,6)="chỉ C2","Không","Có"),IF(LEFT(F40,6)="chỉ C1","Khuyến nghị","Có"))</f>
        <v/>
      </c>
      <c r="I40" s="12" t="n"/>
      <c r="J40" s="12" t="n"/>
      <c r="K40" s="12" t="n"/>
      <c r="L40" s="12" t="n"/>
    </row>
    <row r="41">
      <c r="A41" s="8" t="inlineStr">
        <is>
          <t>C12-06-01</t>
        </is>
      </c>
      <c r="B41" s="8" t="inlineStr">
        <is>
          <t>6. Tài khoản, quyền truy cập</t>
        </is>
      </c>
      <c r="C41" s="8" t="inlineStr">
        <is>
          <t>Có quy trình, công cụ phân quyền và quản lý quyền truy cập cho 4 loại tài khoản (quản trị, tác nghiệp, kỹ thuật, dịch vụ)</t>
        </is>
      </c>
      <c r="D41" s="8" t="inlineStr">
        <is>
          <t>3.6.1 a)</t>
        </is>
      </c>
      <c r="E41" s="8" t="inlineStr">
        <is>
          <t>4.6.1 a)</t>
        </is>
      </c>
      <c r="F41" s="8" t="inlineStr">
        <is>
          <t>C1+C2</t>
        </is>
      </c>
      <c r="G41" s="8" t="inlineStr">
        <is>
          <t>Quy trình quản lý tài khoản, công cụ quản lý tập trung</t>
        </is>
      </c>
      <c r="H41" s="13">
        <f>IF('Hướng dẫn'!$B$5=1,IF(LEFT(F41,6)="chỉ C2","Không","Có"),IF(LEFT(F41,6)="chỉ C1","Khuyến nghị","Có"))</f>
        <v/>
      </c>
      <c r="I41" s="12" t="n"/>
      <c r="J41" s="12" t="n"/>
      <c r="K41" s="12" t="n"/>
      <c r="L41" s="12" t="n"/>
    </row>
    <row r="42">
      <c r="A42" s="8" t="inlineStr">
        <is>
          <t>C12-06-02</t>
        </is>
      </c>
      <c r="B42" s="8" t="inlineStr">
        <is>
          <t>6. Tài khoản, quyền truy cập</t>
        </is>
      </c>
      <c r="C42" s="8" t="inlineStr">
        <is>
          <t>Quy trình tạo, gán, quản lý, thu hồi đặc quyền và quyền truy cập; quyền nhất quán theo vai trò, chỉ đủ cho dữ liệu, tài sản cần thiết</t>
        </is>
      </c>
      <c r="D42" s="8" t="inlineStr">
        <is>
          <t>3.6.1 b)</t>
        </is>
      </c>
      <c r="E42" s="8" t="inlineStr">
        <is>
          <t>4.6.1 b)</t>
        </is>
      </c>
      <c r="F42" s="8" t="inlineStr">
        <is>
          <t>C1+C2</t>
        </is>
      </c>
      <c r="G42" s="8" t="inlineStr">
        <is>
          <t>Quy trình cấp/thu hồi quyền, phiếu yêu cầu đã duyệt</t>
        </is>
      </c>
      <c r="H42" s="13">
        <f>IF('Hướng dẫn'!$B$5=1,IF(LEFT(F42,6)="chỉ C2","Không","Có"),IF(LEFT(F42,6)="chỉ C1","Khuyến nghị","Có"))</f>
        <v/>
      </c>
      <c r="I42" s="12" t="n"/>
      <c r="J42" s="12" t="n"/>
      <c r="K42" s="12" t="n"/>
      <c r="L42" s="12" t="n"/>
    </row>
    <row r="43">
      <c r="A43" s="8" t="inlineStr">
        <is>
          <t>C12-06-03</t>
        </is>
      </c>
      <c r="B43" s="8" t="inlineStr">
        <is>
          <t>6. Tài khoản, quyền truy cập</t>
        </is>
      </c>
      <c r="C43" s="8" t="inlineStr">
        <is>
          <t>Ghi log và giám sát hoạt động của tài khoản người dùng</t>
        </is>
      </c>
      <c r="D43" s="8" t="inlineStr">
        <is>
          <t>3.6.1 c)</t>
        </is>
      </c>
      <c r="E43" s="8" t="inlineStr">
        <is>
          <t>4.6.1 c)</t>
        </is>
      </c>
      <c r="F43" s="8" t="inlineStr">
        <is>
          <t>C1+C2</t>
        </is>
      </c>
      <c r="G43" s="8" t="inlineStr">
        <is>
          <t>Cấu hình audit log đăng nhập</t>
        </is>
      </c>
      <c r="H43" s="13">
        <f>IF('Hướng dẫn'!$B$5=1,IF(LEFT(F43,6)="chỉ C2","Không","Có"),IF(LEFT(F43,6)="chỉ C1","Khuyến nghị","Có"))</f>
        <v/>
      </c>
      <c r="I43" s="12" t="n"/>
      <c r="J43" s="12" t="n"/>
      <c r="K43" s="12" t="n"/>
      <c r="L43" s="12" t="n"/>
    </row>
    <row r="44">
      <c r="A44" s="8" t="inlineStr">
        <is>
          <t>C12-06-04</t>
        </is>
      </c>
      <c r="B44" s="8" t="inlineStr">
        <is>
          <t>6. Tài khoản, quyền truy cập</t>
        </is>
      </c>
      <c r="C44" s="8" t="inlineStr">
        <is>
          <t>Danh sách mọi tài khoản trên phần cứng và phần mềm</t>
        </is>
      </c>
      <c r="D44" s="8" t="inlineStr">
        <is>
          <t>3.6.2.1 a)</t>
        </is>
      </c>
      <c r="E44" s="8" t="inlineStr">
        <is>
          <t>4.6.2.1 a)</t>
        </is>
      </c>
      <c r="F44" s="8" t="inlineStr">
        <is>
          <t>C1+C2</t>
        </is>
      </c>
      <c r="G44" s="8" t="inlineStr">
        <is>
          <t>Danh sách tài khoản</t>
        </is>
      </c>
      <c r="H44" s="13">
        <f>IF('Hướng dẫn'!$B$5=1,IF(LEFT(F44,6)="chỉ C2","Không","Có"),IF(LEFT(F44,6)="chỉ C1","Khuyến nghị","Có"))</f>
        <v/>
      </c>
      <c r="I44" s="12" t="n"/>
      <c r="J44" s="12" t="n"/>
      <c r="K44" s="12" t="n"/>
      <c r="L44" s="12" t="n"/>
    </row>
    <row r="45">
      <c r="A45" s="8" t="inlineStr">
        <is>
          <t>C12-06-05</t>
        </is>
      </c>
      <c r="B45" s="8" t="inlineStr">
        <is>
          <t>6. Tài khoản, quyền truy cập</t>
        </is>
      </c>
      <c r="C45" s="8" t="inlineStr">
        <is>
          <t>Danh sách phân loại tài khoản (C1: đủ 4 loại; C2: tối thiểu quản trị, tác nghiệp, kỹ thuật)</t>
        </is>
      </c>
      <c r="D45" s="8" t="inlineStr">
        <is>
          <t>3.6.2.1 b)</t>
        </is>
      </c>
      <c r="E45" s="8" t="inlineStr">
        <is>
          <t>4.6.2.1 b)</t>
        </is>
      </c>
      <c r="F45" s="8" t="inlineStr">
        <is>
          <t>C1+C2</t>
        </is>
      </c>
      <c r="G45" s="8" t="inlineStr">
        <is>
          <t>Danh sách tài khoản phân loại</t>
        </is>
      </c>
      <c r="H45" s="13">
        <f>IF('Hướng dẫn'!$B$5=1,IF(LEFT(F45,6)="chỉ C2","Không","Có"),IF(LEFT(F45,6)="chỉ C1","Khuyến nghị","Có"))</f>
        <v/>
      </c>
      <c r="I45" s="12" t="n"/>
      <c r="J45" s="12" t="n"/>
      <c r="K45" s="12" t="n"/>
      <c r="L45" s="12" t="n"/>
    </row>
    <row r="46">
      <c r="A46" s="8" t="inlineStr">
        <is>
          <t>C12-06-06</t>
        </is>
      </c>
      <c r="B46" s="8" t="inlineStr">
        <is>
          <t>6. Tài khoản, quyền truy cập</t>
        </is>
      </c>
      <c r="C46" s="8" t="inlineStr">
        <is>
          <t>Trường tối thiểu: loại, tên, trạng thái, hệ thống, người quản lý, phòng ban, ngày kích hoạt/vô hiệu; không còn tài khoản không hợp lệ</t>
        </is>
      </c>
      <c r="D46" s="8" t="inlineStr">
        <is>
          <t>3.6.2.1 c)</t>
        </is>
      </c>
      <c r="E46" s="8" t="inlineStr">
        <is>
          <t>4.6.2.1 c)</t>
        </is>
      </c>
      <c r="F46" s="8" t="inlineStr">
        <is>
          <t>C1+C2</t>
        </is>
      </c>
      <c r="G46" s="8" t="inlineStr">
        <is>
          <t>Danh sách có đủ trường</t>
        </is>
      </c>
      <c r="H46" s="13">
        <f>IF('Hướng dẫn'!$B$5=1,IF(LEFT(F46,6)="chỉ C2","Không","Có"),IF(LEFT(F46,6)="chỉ C1","Khuyến nghị","Có"))</f>
        <v/>
      </c>
      <c r="I46" s="12" t="n"/>
      <c r="J46" s="12" t="n"/>
      <c r="K46" s="12" t="n"/>
      <c r="L46" s="12" t="n"/>
    </row>
    <row r="47">
      <c r="A47" s="8" t="inlineStr">
        <is>
          <t>C12-06-07</t>
        </is>
      </c>
      <c r="B47" s="8" t="inlineStr">
        <is>
          <t>6. Tài khoản, quyền truy cập</t>
        </is>
      </c>
      <c r="C47" s="8" t="inlineStr">
        <is>
          <t>Rà soát danh sách tài khoản ≥ 1 lần/năm</t>
        </is>
      </c>
      <c r="D47" s="8" t="inlineStr">
        <is>
          <t>3.6.2.1 d)</t>
        </is>
      </c>
      <c r="E47" s="8" t="inlineStr">
        <is>
          <t>4.6.2.1 d)</t>
        </is>
      </c>
      <c r="F47" s="8" t="inlineStr">
        <is>
          <t>C1+C2</t>
        </is>
      </c>
      <c r="G47" s="8" t="inlineStr">
        <is>
          <t>Biên bản rà soát</t>
        </is>
      </c>
      <c r="H47" s="13">
        <f>IF('Hướng dẫn'!$B$5=1,IF(LEFT(F47,6)="chỉ C2","Không","Có"),IF(LEFT(F47,6)="chỉ C1","Khuyến nghị","Có"))</f>
        <v/>
      </c>
      <c r="I47" s="12" t="n"/>
      <c r="J47" s="12" t="n"/>
      <c r="K47" s="12" t="n"/>
      <c r="L47" s="12" t="n"/>
    </row>
    <row r="48">
      <c r="A48" s="8" t="inlineStr">
        <is>
          <t>C12-06-08</t>
        </is>
      </c>
      <c r="B48" s="8" t="inlineStr">
        <is>
          <t>6. Tài khoản, quyền truy cập</t>
        </is>
      </c>
      <c r="C48" s="8" t="inlineStr">
        <is>
          <t>Cấu hình bắt đổi mật khẩu mặc định; quy tắc độ dài, loại ký tự (C2: thêm thời hạn đổi và thời hạn hiệu lực mật khẩu)</t>
        </is>
      </c>
      <c r="D48" s="8" t="inlineStr">
        <is>
          <t>3.6.2.2 a)</t>
        </is>
      </c>
      <c r="E48" s="8" t="inlineStr">
        <is>
          <t>4.6.2.2 a)</t>
        </is>
      </c>
      <c r="F48" s="8" t="inlineStr">
        <is>
          <t>C1+C2</t>
        </is>
      </c>
      <c r="G48" s="8" t="inlineStr">
        <is>
          <t>Chính sách mật khẩu (GPO/IdP)</t>
        </is>
      </c>
      <c r="H48" s="13">
        <f>IF('Hướng dẫn'!$B$5=1,IF(LEFT(F48,6)="chỉ C2","Không","Có"),IF(LEFT(F48,6)="chỉ C1","Khuyến nghị","Có"))</f>
        <v/>
      </c>
      <c r="I48" s="12" t="n"/>
      <c r="J48" s="12" t="n"/>
      <c r="K48" s="12" t="n"/>
      <c r="L48" s="12" t="n"/>
    </row>
    <row r="49">
      <c r="A49" s="8" t="inlineStr">
        <is>
          <t>C12-06-09</t>
        </is>
      </c>
      <c r="B49" s="8" t="inlineStr">
        <is>
          <t>6. Tài khoản, quyền truy cập</t>
        </is>
      </c>
      <c r="C49" s="8" t="inlineStr">
        <is>
          <t>Gợi ý: mật khẩu riêng cho từng tài sản hoặc xác thực tập trung; bắt đổi ở lần đăng nhập đầu</t>
        </is>
      </c>
      <c r="D49" s="8" t="inlineStr">
        <is>
          <t>3.6.2.2 b)</t>
        </is>
      </c>
      <c r="E49" s="8" t="inlineStr">
        <is>
          <t>4.6.2.2 b)</t>
        </is>
      </c>
      <c r="F49" s="8" t="inlineStr">
        <is>
          <t>C1+C2</t>
        </is>
      </c>
      <c r="G49" s="8" t="inlineStr">
        <is>
          <t>Cấu hình IdP/SSO</t>
        </is>
      </c>
      <c r="H49" s="13">
        <f>IF('Hướng dẫn'!$B$5=1,IF(LEFT(F49,6)="chỉ C2","Không","Có"),IF(LEFT(F49,6)="chỉ C1","Khuyến nghị","Có"))</f>
        <v/>
      </c>
      <c r="I49" s="12" t="n"/>
      <c r="J49" s="12" t="n"/>
      <c r="K49" s="12" t="n"/>
      <c r="L49" s="12" t="n"/>
    </row>
    <row r="50">
      <c r="A50" s="8" t="inlineStr">
        <is>
          <t>C12-06-10</t>
        </is>
      </c>
      <c r="B50" s="8" t="inlineStr">
        <is>
          <t>6. Tài khoản, quyền truy cập</t>
        </is>
      </c>
      <c r="C50" s="8" t="inlineStr">
        <is>
          <t>Gợi ý độ dài: ≥ 8 ký tự nếu có MFA; ≥ 14 ký tự gồm đủ 4 loại ký tự nếu không có MFA</t>
        </is>
      </c>
      <c r="D50" s="8" t="inlineStr">
        <is>
          <t>3.6.2.2 b)</t>
        </is>
      </c>
      <c r="E50" s="8" t="inlineStr">
        <is>
          <t>4.6.2.2 b)</t>
        </is>
      </c>
      <c r="F50" s="8" t="inlineStr">
        <is>
          <t>C1+C2</t>
        </is>
      </c>
      <c r="G50" s="8" t="inlineStr">
        <is>
          <t>Chính sách mật khẩu</t>
        </is>
      </c>
      <c r="H50" s="13">
        <f>IF('Hướng dẫn'!$B$5=1,IF(LEFT(F50,6)="chỉ C2","Không","Có"),IF(LEFT(F50,6)="chỉ C1","Khuyến nghị","Có"))</f>
        <v/>
      </c>
      <c r="I50" s="12" t="n"/>
      <c r="J50" s="12" t="n"/>
      <c r="K50" s="12" t="n"/>
      <c r="L50" s="12" t="n"/>
    </row>
    <row r="51">
      <c r="A51" s="8" t="inlineStr">
        <is>
          <t>C12-06-11</t>
        </is>
      </c>
      <c r="B51" s="8" t="inlineStr">
        <is>
          <t>6. Tài khoản, quyền truy cập</t>
        </is>
      </c>
      <c r="C51" s="8" t="inlineStr">
        <is>
          <t>Tài khoản quản trị đổi mật khẩu ít nhất 2 tháng/lần</t>
        </is>
      </c>
      <c r="D51" s="8" t="inlineStr">
        <is>
          <t>3.6.2.2 b)</t>
        </is>
      </c>
      <c r="E51" s="8" t="inlineStr">
        <is>
          <t>4.6.2.2 b)</t>
        </is>
      </c>
      <c r="F51" s="8" t="inlineStr">
        <is>
          <t>C1+C2</t>
        </is>
      </c>
      <c r="G51" s="8" t="inlineStr">
        <is>
          <t>Chính sách hết hạn mật khẩu tài khoản quản trị</t>
        </is>
      </c>
      <c r="H51" s="13">
        <f>IF('Hướng dẫn'!$B$5=1,IF(LEFT(F51,6)="chỉ C2","Không","Có"),IF(LEFT(F51,6)="chỉ C1","Khuyến nghị","Có"))</f>
        <v/>
      </c>
      <c r="I51" s="12" t="n"/>
      <c r="J51" s="12" t="n"/>
      <c r="K51" s="12" t="n"/>
      <c r="L51" s="12" t="n"/>
    </row>
    <row r="52">
      <c r="A52" s="8" t="inlineStr">
        <is>
          <t>C12-06-12</t>
        </is>
      </c>
      <c r="B52" s="8" t="inlineStr">
        <is>
          <t>6. Tài khoản, quyền truy cập</t>
        </is>
      </c>
      <c r="C52" s="8" t="inlineStr">
        <is>
          <t>Đổi hoặc vô hiệu hóa tài khoản mặc định (root, administrator, tài khoản cài sẵn của hãng)</t>
        </is>
      </c>
      <c r="D52" s="8" t="inlineStr">
        <is>
          <t>3.6.2.3</t>
        </is>
      </c>
      <c r="E52" s="8" t="inlineStr">
        <is>
          <t>4.6.2.3</t>
        </is>
      </c>
      <c r="F52" s="8" t="inlineStr">
        <is>
          <t>C1+C2</t>
        </is>
      </c>
      <c r="G52" s="8" t="inlineStr">
        <is>
          <t>Danh sách tài khoản mặc định đã xử lý</t>
        </is>
      </c>
      <c r="H52" s="13">
        <f>IF('Hướng dẫn'!$B$5=1,IF(LEFT(F52,6)="chỉ C2","Không","Có"),IF(LEFT(F52,6)="chỉ C1","Khuyến nghị","Có"))</f>
        <v/>
      </c>
      <c r="I52" s="12" t="n"/>
      <c r="J52" s="12" t="n"/>
      <c r="K52" s="12" t="n"/>
      <c r="L52" s="12" t="n"/>
    </row>
    <row r="53">
      <c r="A53" s="8" t="inlineStr">
        <is>
          <t>C12-06-13</t>
        </is>
      </c>
      <c r="B53" s="8" t="inlineStr">
        <is>
          <t>6. Tài khoản, quyền truy cập</t>
        </is>
      </c>
      <c r="C53" s="8" t="inlineStr">
        <is>
          <t>Tách biệt quản lý 4 loại tài khoản</t>
        </is>
      </c>
      <c r="D53" s="8" t="inlineStr">
        <is>
          <t>3.6.2.3</t>
        </is>
      </c>
      <c r="E53" s="8" t="inlineStr">
        <is>
          <t>4.6.2.3</t>
        </is>
      </c>
      <c r="F53" s="8" t="inlineStr">
        <is>
          <t>C1+C2</t>
        </is>
      </c>
      <c r="G53" s="8" t="inlineStr">
        <is>
          <t>Quy định + danh sách phân loại</t>
        </is>
      </c>
      <c r="H53" s="13">
        <f>IF('Hướng dẫn'!$B$5=1,IF(LEFT(F53,6)="chỉ C2","Không","Có"),IF(LEFT(F53,6)="chỉ C1","Khuyến nghị","Có"))</f>
        <v/>
      </c>
      <c r="I53" s="12" t="n"/>
      <c r="J53" s="12" t="n"/>
      <c r="K53" s="12" t="n"/>
      <c r="L53" s="12" t="n"/>
    </row>
    <row r="54">
      <c r="A54" s="8" t="inlineStr">
        <is>
          <t>C12-06-14</t>
        </is>
      </c>
      <c r="B54" s="8" t="inlineStr">
        <is>
          <t>6. Tài khoản, quyền truy cập</t>
        </is>
      </c>
      <c r="C54" s="8" t="inlineStr">
        <is>
          <t>Mỗi tài khoản gắn một người; dùng chung phải được phê duyệt và truy vết được người dùng từng thời điểm</t>
        </is>
      </c>
      <c r="D54" s="8" t="inlineStr">
        <is>
          <t>3.6.2.3</t>
        </is>
      </c>
      <c r="E54" s="8" t="inlineStr">
        <is>
          <t>4.6.2.3</t>
        </is>
      </c>
      <c r="F54" s="8" t="inlineStr">
        <is>
          <t>C1+C2</t>
        </is>
      </c>
      <c r="G54" s="8" t="inlineStr">
        <is>
          <t>Phê duyệt tài khoản dùng chung, sổ theo dõi</t>
        </is>
      </c>
      <c r="H54" s="13">
        <f>IF('Hướng dẫn'!$B$5=1,IF(LEFT(F54,6)="chỉ C2","Không","Có"),IF(LEFT(F54,6)="chỉ C1","Khuyến nghị","Có"))</f>
        <v/>
      </c>
      <c r="I54" s="12" t="n"/>
      <c r="J54" s="12" t="n"/>
      <c r="K54" s="12" t="n"/>
      <c r="L54" s="12" t="n"/>
    </row>
    <row r="55">
      <c r="A55" s="8" t="inlineStr">
        <is>
          <t>C12-06-15</t>
        </is>
      </c>
      <c r="B55" s="8" t="inlineStr">
        <is>
          <t>6. Tài khoản, quyền truy cập</t>
        </is>
      </c>
      <c r="C55" s="8" t="inlineStr">
        <is>
          <t>Xóa/vô hiệu hóa tài khoản không hoạt động quá 45 ngày hoặc ngay khi đổi nhân sự</t>
        </is>
      </c>
      <c r="D55" s="8" t="inlineStr">
        <is>
          <t>3.6.2.3</t>
        </is>
      </c>
      <c r="E55" s="8" t="inlineStr">
        <is>
          <t>4.6.2.3</t>
        </is>
      </c>
      <c r="F55" s="8" t="inlineStr">
        <is>
          <t>C1+C2</t>
        </is>
      </c>
      <c r="G55" s="8" t="inlineStr">
        <is>
          <t>Báo cáo tài khoản inactive</t>
        </is>
      </c>
      <c r="H55" s="13">
        <f>IF('Hướng dẫn'!$B$5=1,IF(LEFT(F55,6)="chỉ C2","Không","Có"),IF(LEFT(F55,6)="chỉ C1","Khuyến nghị","Có"))</f>
        <v/>
      </c>
      <c r="I55" s="12" t="n"/>
      <c r="J55" s="12" t="n"/>
      <c r="K55" s="12" t="n"/>
      <c r="L55" s="12" t="n"/>
    </row>
    <row r="56">
      <c r="A56" s="8" t="inlineStr">
        <is>
          <t>C12-06-16</t>
        </is>
      </c>
      <c r="B56" s="8" t="inlineStr">
        <is>
          <t>6. Tài khoản, quyền truy cập</t>
        </is>
      </c>
      <c r="C56" s="8" t="inlineStr">
        <is>
          <t>Rà soát quy định quản lý tài khoản ≥ 1 lần/năm hoặc khi thay đổi</t>
        </is>
      </c>
      <c r="D56" s="8" t="inlineStr">
        <is>
          <t>3.6.2.3</t>
        </is>
      </c>
      <c r="E56" s="8" t="inlineStr">
        <is>
          <t>4.6.2.3</t>
        </is>
      </c>
      <c r="F56" s="8" t="inlineStr">
        <is>
          <t>C1+C2</t>
        </is>
      </c>
      <c r="G56" s="8" t="inlineStr">
        <is>
          <t>Lịch sử phiên bản</t>
        </is>
      </c>
      <c r="H56" s="13">
        <f>IF('Hướng dẫn'!$B$5=1,IF(LEFT(F56,6)="chỉ C2","Không","Có"),IF(LEFT(F56,6)="chỉ C1","Khuyến nghị","Có"))</f>
        <v/>
      </c>
      <c r="I56" s="12" t="n"/>
      <c r="J56" s="12" t="n"/>
      <c r="K56" s="12" t="n"/>
      <c r="L56" s="12" t="n"/>
    </row>
    <row r="57">
      <c r="A57" s="8" t="inlineStr">
        <is>
          <t>C12-06-17</t>
        </is>
      </c>
      <c r="B57" s="8" t="inlineStr">
        <is>
          <t>6. Tài khoản, quyền truy cập</t>
        </is>
      </c>
      <c r="C57" s="8" t="inlineStr">
        <is>
          <t>Áp dụng đặc quyền tối thiểu và phân tách nhiệm vụ cho mọi loại tài khoản</t>
        </is>
      </c>
      <c r="D57" s="8" t="inlineStr">
        <is>
          <t>3.6.2.4</t>
        </is>
      </c>
      <c r="E57" s="8" t="inlineStr">
        <is>
          <t>4.6.2.4</t>
        </is>
      </c>
      <c r="F57" s="8" t="inlineStr">
        <is>
          <t>C1+C2</t>
        </is>
      </c>
      <c r="G57" s="8" t="inlineStr">
        <is>
          <t>Ma trận vai trò – quyền</t>
        </is>
      </c>
      <c r="H57" s="13">
        <f>IF('Hướng dẫn'!$B$5=1,IF(LEFT(F57,6)="chỉ C2","Không","Có"),IF(LEFT(F57,6)="chỉ C1","Khuyến nghị","Có"))</f>
        <v/>
      </c>
      <c r="I57" s="12" t="n"/>
      <c r="J57" s="12" t="n"/>
      <c r="K57" s="12" t="n"/>
      <c r="L57" s="12" t="n"/>
    </row>
    <row r="58">
      <c r="A58" s="8" t="inlineStr">
        <is>
          <t>C12-06-18</t>
        </is>
      </c>
      <c r="B58" s="8" t="inlineStr">
        <is>
          <t>6. Tài khoản, quyền truy cập</t>
        </is>
      </c>
      <c r="C58" s="8" t="inlineStr">
        <is>
          <t>Tài liệu hóa quyền cần thiết theo chức danh, bộ phận</t>
        </is>
      </c>
      <c r="D58" s="8" t="inlineStr">
        <is>
          <t>3.6.2.4</t>
        </is>
      </c>
      <c r="E58" s="8" t="inlineStr">
        <is>
          <t>4.6.2.4</t>
        </is>
      </c>
      <c r="F58" s="8" t="inlineStr">
        <is>
          <t>C1+C2</t>
        </is>
      </c>
      <c r="G58" s="8" t="inlineStr">
        <is>
          <t>Ma trận quyền theo chức danh</t>
        </is>
      </c>
      <c r="H58" s="13">
        <f>IF('Hướng dẫn'!$B$5=1,IF(LEFT(F58,6)="chỉ C2","Không","Có"),IF(LEFT(F58,6)="chỉ C1","Khuyến nghị","Có"))</f>
        <v/>
      </c>
      <c r="I58" s="12" t="n"/>
      <c r="J58" s="12" t="n"/>
      <c r="K58" s="12" t="n"/>
      <c r="L58" s="12" t="n"/>
    </row>
    <row r="59">
      <c r="A59" s="8" t="inlineStr">
        <is>
          <t>C12-06-19</t>
        </is>
      </c>
      <c r="B59" s="8" t="inlineStr">
        <is>
          <t>6. Tài khoản, quyền truy cập</t>
        </is>
      </c>
      <c r="C59" s="8" t="inlineStr">
        <is>
          <t>MFA cho truy cập từ ngoài tổ chức, từ đối tác/bên thứ ba, từ Internet và cho tài khoản quản trị</t>
        </is>
      </c>
      <c r="D59" s="8" t="inlineStr">
        <is>
          <t>3.6.2.4</t>
        </is>
      </c>
      <c r="E59" s="8" t="inlineStr">
        <is>
          <t>4.6.2.4</t>
        </is>
      </c>
      <c r="F59" s="8" t="inlineStr">
        <is>
          <t>C1+C2</t>
        </is>
      </c>
      <c r="G59" s="8" t="inlineStr">
        <is>
          <t>Cấu hình MFA</t>
        </is>
      </c>
      <c r="H59" s="13">
        <f>IF('Hướng dẫn'!$B$5=1,IF(LEFT(F59,6)="chỉ C2","Không","Có"),IF(LEFT(F59,6)="chỉ C1","Khuyến nghị","Có"))</f>
        <v/>
      </c>
      <c r="I59" s="12" t="n"/>
      <c r="J59" s="12" t="n"/>
      <c r="K59" s="12" t="n"/>
      <c r="L59" s="12" t="n"/>
    </row>
    <row r="60">
      <c r="A60" s="8" t="inlineStr">
        <is>
          <t>C12-06-20</t>
        </is>
      </c>
      <c r="B60" s="8" t="inlineStr">
        <is>
          <t>6. Tài khoản, quyền truy cập</t>
        </is>
      </c>
      <c r="C60" s="8" t="inlineStr">
        <is>
          <t>Rà soát quy định quản lý truy cập ≥ 1 lần/năm hoặc khi thay đổi</t>
        </is>
      </c>
      <c r="D60" s="8" t="inlineStr">
        <is>
          <t>3.6.2.4</t>
        </is>
      </c>
      <c r="E60" s="8" t="inlineStr">
        <is>
          <t>4.6.2.4</t>
        </is>
      </c>
      <c r="F60" s="8" t="inlineStr">
        <is>
          <t>C1+C2</t>
        </is>
      </c>
      <c r="G60" s="8" t="inlineStr">
        <is>
          <t>Lịch sử phiên bản</t>
        </is>
      </c>
      <c r="H60" s="13">
        <f>IF('Hướng dẫn'!$B$5=1,IF(LEFT(F60,6)="chỉ C2","Không","Có"),IF(LEFT(F60,6)="chỉ C1","Khuyến nghị","Có"))</f>
        <v/>
      </c>
      <c r="I60" s="12" t="n"/>
      <c r="J60" s="12" t="n"/>
      <c r="K60" s="12" t="n"/>
      <c r="L60" s="12" t="n"/>
    </row>
    <row r="61">
      <c r="A61" s="8" t="inlineStr">
        <is>
          <t>C12-07-01</t>
        </is>
      </c>
      <c r="B61" s="8" t="inlineStr">
        <is>
          <t>7. Lỗ hổng bảo mật</t>
        </is>
      </c>
      <c r="C61" s="8" t="inlineStr">
        <is>
          <t>Có kế hoạch đánh giá, theo dõi lỗ hổng thường xuyên để khắc phục và giảm nguy cơ bị tấn công</t>
        </is>
      </c>
      <c r="D61" s="8" t="inlineStr">
        <is>
          <t>3.7.1 a)</t>
        </is>
      </c>
      <c r="E61" s="8" t="inlineStr">
        <is>
          <t>4.7.1 a)</t>
        </is>
      </c>
      <c r="F61" s="8" t="inlineStr">
        <is>
          <t>C1+C2</t>
        </is>
      </c>
      <c r="G61" s="8" t="inlineStr">
        <is>
          <t>Kế hoạch đánh giá lỗ hổng (phạm vi, lịch rà quét)</t>
        </is>
      </c>
      <c r="H61" s="13">
        <f>IF('Hướng dẫn'!$B$5=1,IF(LEFT(F61,6)="chỉ C2","Không","Có"),IF(LEFT(F61,6)="chỉ C1","Khuyến nghị","Có"))</f>
        <v/>
      </c>
      <c r="I61" s="12" t="n"/>
      <c r="J61" s="12" t="n"/>
      <c r="K61" s="12" t="n"/>
      <c r="L61" s="12" t="n"/>
    </row>
    <row r="62">
      <c r="A62" s="8" t="inlineStr">
        <is>
          <t>C12-07-02</t>
        </is>
      </c>
      <c r="B62" s="8" t="inlineStr">
        <is>
          <t>7. Lỗ hổng bảo mật</t>
        </is>
      </c>
      <c r="C62" s="8" t="inlineStr">
        <is>
          <t>Theo dõi thông tin mối đe dọa, lỗ hổng mới từ nhiều nguồn</t>
        </is>
      </c>
      <c r="D62" s="8" t="inlineStr">
        <is>
          <t>3.7.1 b)</t>
        </is>
      </c>
      <c r="E62" s="8" t="inlineStr">
        <is>
          <t>4.7.1 b)</t>
        </is>
      </c>
      <c r="F62" s="8" t="inlineStr">
        <is>
          <t>C1+C2</t>
        </is>
      </c>
      <c r="G62" s="8" t="inlineStr">
        <is>
          <t>Nguồn tin đăng ký (NCSC, CVE, hãng…)</t>
        </is>
      </c>
      <c r="H62" s="13">
        <f>IF('Hướng dẫn'!$B$5=1,IF(LEFT(F62,6)="chỉ C2","Không","Có"),IF(LEFT(F62,6)="chỉ C1","Khuyến nghị","Có"))</f>
        <v/>
      </c>
      <c r="I62" s="12" t="n"/>
      <c r="J62" s="12" t="n"/>
      <c r="K62" s="12" t="n"/>
      <c r="L62" s="12" t="n"/>
    </row>
    <row r="63">
      <c r="A63" s="8" t="inlineStr">
        <is>
          <t>C12-07-03</t>
        </is>
      </c>
      <c r="B63" s="8" t="inlineStr">
        <is>
          <t>7. Lỗ hổng bảo mật</t>
        </is>
      </c>
      <c r="C63" s="8" t="inlineStr">
        <is>
          <t>Quy trình quản lý lỗ hổng: rà quét phát hiện, chấm mức nghiêm trọng, chia sẻ/tiếp nhận báo cáo, khắc phục theo ưu tiên và kiểm tra lại</t>
        </is>
      </c>
      <c r="D63" s="8" t="inlineStr">
        <is>
          <t>3.7.2.1 a)</t>
        </is>
      </c>
      <c r="E63" s="8" t="inlineStr">
        <is>
          <t>4.7.2.1 a)</t>
        </is>
      </c>
      <c r="F63" s="8" t="inlineStr">
        <is>
          <t>C1+C2</t>
        </is>
      </c>
      <c r="G63" s="8" t="inlineStr">
        <is>
          <t>Quy trình quản lý lỗ hổng</t>
        </is>
      </c>
      <c r="H63" s="13">
        <f>IF('Hướng dẫn'!$B$5=1,IF(LEFT(F63,6)="chỉ C2","Không","Có"),IF(LEFT(F63,6)="chỉ C1","Khuyến nghị","Có"))</f>
        <v/>
      </c>
      <c r="I63" s="12" t="n"/>
      <c r="J63" s="12" t="n"/>
      <c r="K63" s="12" t="n"/>
      <c r="L63" s="12" t="n"/>
    </row>
    <row r="64">
      <c r="A64" s="8" t="inlineStr">
        <is>
          <t>C12-07-04</t>
        </is>
      </c>
      <c r="B64" s="8" t="inlineStr">
        <is>
          <t>7. Lỗ hổng bảo mật</t>
        </is>
      </c>
      <c r="C64" s="8" t="inlineStr">
        <is>
          <t>Rà soát quy trình và thực hiện rà quét lỗ hổng ≥ 1 lần/năm hoặc khi thay đổi</t>
        </is>
      </c>
      <c r="D64" s="8" t="inlineStr">
        <is>
          <t>3.7.2.1 b)</t>
        </is>
      </c>
      <c r="E64" s="8" t="inlineStr">
        <is>
          <t>4.7.2.1 b)</t>
        </is>
      </c>
      <c r="F64" s="8" t="inlineStr">
        <is>
          <t>C1+C2</t>
        </is>
      </c>
      <c r="G64" s="8" t="inlineStr">
        <is>
          <t>Báo cáo rà quét, biên bản rà soát</t>
        </is>
      </c>
      <c r="H64" s="13">
        <f>IF('Hướng dẫn'!$B$5=1,IF(LEFT(F64,6)="chỉ C2","Không","Có"),IF(LEFT(F64,6)="chỉ C1","Khuyến nghị","Có"))</f>
        <v/>
      </c>
      <c r="I64" s="12" t="n"/>
      <c r="J64" s="12" t="n"/>
      <c r="K64" s="12" t="n"/>
      <c r="L64" s="12" t="n"/>
    </row>
    <row r="65">
      <c r="A65" s="8" t="inlineStr">
        <is>
          <t>C12-07-05</t>
        </is>
      </c>
      <c r="B65" s="8" t="inlineStr">
        <is>
          <t>7. Lỗ hổng bảo mật</t>
        </is>
      </c>
      <c r="C65" s="8" t="inlineStr">
        <is>
          <t>Có phương án vá cho toàn bộ phần cứng, phần mềm của HTTT</t>
        </is>
      </c>
      <c r="D65" s="8" t="inlineStr">
        <is>
          <t>—</t>
        </is>
      </c>
      <c r="E65" s="8" t="inlineStr">
        <is>
          <t>4.7.2.2</t>
        </is>
      </c>
      <c r="F65" s="8" t="inlineStr">
        <is>
          <t>chỉ C2</t>
        </is>
      </c>
      <c r="G65" s="8" t="inlineStr">
        <is>
          <t>Kế hoạch vá</t>
        </is>
      </c>
      <c r="H65" s="13">
        <f>IF('Hướng dẫn'!$B$5=1,IF(LEFT(F65,6)="chỉ C2","Không","Có"),IF(LEFT(F65,6)="chỉ C1","Khuyến nghị","Có"))</f>
        <v/>
      </c>
      <c r="I65" s="12" t="n"/>
      <c r="J65" s="12" t="n"/>
      <c r="K65" s="12" t="n"/>
      <c r="L65" s="12" t="n"/>
    </row>
    <row r="66">
      <c r="A66" s="8" t="inlineStr">
        <is>
          <t>C12-07-06</t>
        </is>
      </c>
      <c r="B66" s="8" t="inlineStr">
        <is>
          <t>7. Lỗ hổng bảo mật</t>
        </is>
      </c>
      <c r="C66" s="8" t="inlineStr">
        <is>
          <t>Trước khi vá hệ thống có dữ liệu quan trọng: đánh giá tác động, thử nghiệm, có phương án khôi phục</t>
        </is>
      </c>
      <c r="D66" s="8" t="inlineStr">
        <is>
          <t>—</t>
        </is>
      </c>
      <c r="E66" s="8" t="inlineStr">
        <is>
          <t>4.7.2.2</t>
        </is>
      </c>
      <c r="F66" s="8" t="inlineStr">
        <is>
          <t>chỉ C2</t>
        </is>
      </c>
      <c r="G66" s="8" t="inlineStr">
        <is>
          <t>Biên bản thử nghiệm bản vá</t>
        </is>
      </c>
      <c r="H66" s="13">
        <f>IF('Hướng dẫn'!$B$5=1,IF(LEFT(F66,6)="chỉ C2","Không","Có"),IF(LEFT(F66,6)="chỉ C1","Khuyến nghị","Có"))</f>
        <v/>
      </c>
      <c r="I66" s="12" t="n"/>
      <c r="J66" s="12" t="n"/>
      <c r="K66" s="12" t="n"/>
      <c r="L66" s="12" t="n"/>
    </row>
    <row r="67">
      <c r="A67" s="8" t="inlineStr">
        <is>
          <t>C12-07-07</t>
        </is>
      </c>
      <c r="B67" s="8" t="inlineStr">
        <is>
          <t>7. Lỗ hổng bảo mật</t>
        </is>
      </c>
      <c r="C67" s="8" t="inlineStr">
        <is>
          <t>Kiểm tra, cập nhật bản vá HĐH và ứng dụng cho máy tính, di động cấp cho người dùng ≥ 1 lần/tháng</t>
        </is>
      </c>
      <c r="D67" s="8" t="inlineStr">
        <is>
          <t>3.7.2.2</t>
        </is>
      </c>
      <c r="E67" s="8" t="inlineStr">
        <is>
          <t>4.7.2.2</t>
        </is>
      </c>
      <c r="F67" s="8" t="inlineStr">
        <is>
          <t>C1+C2</t>
        </is>
      </c>
      <c r="G67" s="8" t="inlineStr">
        <is>
          <t>Báo cáo tuân thủ bản vá hằng tháng</t>
        </is>
      </c>
      <c r="H67" s="13">
        <f>IF('Hướng dẫn'!$B$5=1,IF(LEFT(F67,6)="chỉ C2","Không","Có"),IF(LEFT(F67,6)="chỉ C1","Khuyến nghị","Có"))</f>
        <v/>
      </c>
      <c r="I67" s="12" t="n"/>
      <c r="J67" s="12" t="n"/>
      <c r="K67" s="12" t="n"/>
      <c r="L67" s="12" t="n"/>
    </row>
    <row r="68">
      <c r="A68" s="8" t="inlineStr">
        <is>
          <t>C12-07-08</t>
        </is>
      </c>
      <c r="B68" s="8" t="inlineStr">
        <is>
          <t>7. Lỗ hổng bảo mật</t>
        </is>
      </c>
      <c r="C68" s="8" t="inlineStr">
        <is>
          <t>Giám sát để phát hiện lỗ hổng mới và vá kịp thời</t>
        </is>
      </c>
      <c r="D68" s="8" t="inlineStr">
        <is>
          <t>3.7.2.2</t>
        </is>
      </c>
      <c r="E68" s="8" t="inlineStr">
        <is>
          <t>4.7.2.2</t>
        </is>
      </c>
      <c r="F68" s="8" t="inlineStr">
        <is>
          <t>C1+C2</t>
        </is>
      </c>
      <c r="G68" s="8" t="inlineStr">
        <is>
          <t>Nhật ký vá</t>
        </is>
      </c>
      <c r="H68" s="13">
        <f>IF('Hướng dẫn'!$B$5=1,IF(LEFT(F68,6)="chỉ C2","Không","Có"),IF(LEFT(F68,6)="chỉ C1","Khuyến nghị","Có"))</f>
        <v/>
      </c>
      <c r="I68" s="12" t="n"/>
      <c r="J68" s="12" t="n"/>
      <c r="K68" s="12" t="n"/>
      <c r="L68" s="12" t="n"/>
    </row>
    <row r="69">
      <c r="A69" s="8" t="inlineStr">
        <is>
          <t>C12-08-01</t>
        </is>
      </c>
      <c r="B69" s="8" t="inlineStr">
        <is>
          <t>8. Nhật ký ANM</t>
        </is>
      </c>
      <c r="C69" s="8" t="inlineStr">
        <is>
          <t>Quy định quản lý log: cách ghi, thu thập, kiểm tra, lưu trữ</t>
        </is>
      </c>
      <c r="D69" s="8" t="inlineStr">
        <is>
          <t>3.8.2.1 a)</t>
        </is>
      </c>
      <c r="E69" s="8" t="inlineStr">
        <is>
          <t>4.8.2.1 a)</t>
        </is>
      </c>
      <c r="F69" s="8" t="inlineStr">
        <is>
          <t>C1+C2</t>
        </is>
      </c>
      <c r="G69" s="8" t="inlineStr">
        <is>
          <t>Quy định quản lý nhật ký</t>
        </is>
      </c>
      <c r="H69" s="13">
        <f>IF('Hướng dẫn'!$B$5=1,IF(LEFT(F69,6)="chỉ C2","Không","Có"),IF(LEFT(F69,6)="chỉ C1","Khuyến nghị","Có"))</f>
        <v/>
      </c>
      <c r="I69" s="12" t="n"/>
      <c r="J69" s="12" t="n"/>
      <c r="K69" s="12" t="n"/>
      <c r="L69" s="12" t="n"/>
    </row>
    <row r="70">
      <c r="A70" s="8" t="inlineStr">
        <is>
          <t>C12-08-02</t>
        </is>
      </c>
      <c r="B70" s="8" t="inlineStr">
        <is>
          <t>8. Nhật ký ANM</t>
        </is>
      </c>
      <c r="C70" s="8" t="inlineStr">
        <is>
          <t>Nguồn log tối thiểu — C1: truy cập phần cứng, truy cập phần mềm, cảnh báo thiết bị bảo mật; C2: truy cập hệ thống, ứng dụng, cảnh báo thiết bị bảo mật</t>
        </is>
      </c>
      <c r="D70" s="8" t="inlineStr">
        <is>
          <t>3.8.2.1 a)</t>
        </is>
      </c>
      <c r="E70" s="8" t="inlineStr">
        <is>
          <t>4.8.2.1 a)</t>
        </is>
      </c>
      <c r="F70" s="8" t="inlineStr">
        <is>
          <t>C1+C2</t>
        </is>
      </c>
      <c r="G70" s="8" t="inlineStr">
        <is>
          <t>Danh sách nguồn log</t>
        </is>
      </c>
      <c r="H70" s="13">
        <f>IF('Hướng dẫn'!$B$5=1,IF(LEFT(F70,6)="chỉ C2","Không","Có"),IF(LEFT(F70,6)="chỉ C1","Khuyến nghị","Có"))</f>
        <v/>
      </c>
      <c r="I70" s="12" t="n"/>
      <c r="J70" s="12" t="n"/>
      <c r="K70" s="12" t="n"/>
      <c r="L70" s="12" t="n"/>
    </row>
    <row r="71">
      <c r="A71" s="8" t="inlineStr">
        <is>
          <t>C12-08-03</t>
        </is>
      </c>
      <c r="B71" s="8" t="inlineStr">
        <is>
          <t>8. Nhật ký ANM</t>
        </is>
      </c>
      <c r="C71" s="8" t="inlineStr">
        <is>
          <t>Log truy cập có nguồn, đích, tài khoản, thời điểm, hành vi; log cảnh báo có tên, thiết bị, mức độ, nguồn, loại, thời điểm</t>
        </is>
      </c>
      <c r="D71" s="8" t="inlineStr">
        <is>
          <t>—</t>
        </is>
      </c>
      <c r="E71" s="8" t="inlineStr">
        <is>
          <t>4.8.2.1 a)</t>
        </is>
      </c>
      <c r="F71" s="8" t="inlineStr">
        <is>
          <t>chỉ C2</t>
        </is>
      </c>
      <c r="G71" s="8" t="inlineStr">
        <is>
          <t>Mẫu bản ghi log</t>
        </is>
      </c>
      <c r="H71" s="13">
        <f>IF('Hướng dẫn'!$B$5=1,IF(LEFT(F71,6)="chỉ C2","Không","Có"),IF(LEFT(F71,6)="chỉ C1","Khuyến nghị","Có"))</f>
        <v/>
      </c>
      <c r="I71" s="12" t="n"/>
      <c r="J71" s="12" t="n"/>
      <c r="K71" s="12" t="n"/>
      <c r="L71" s="12" t="n"/>
    </row>
    <row r="72">
      <c r="A72" s="8" t="inlineStr">
        <is>
          <t>C12-08-04</t>
        </is>
      </c>
      <c r="B72" s="8" t="inlineStr">
        <is>
          <t>8. Nhật ký ANM</t>
        </is>
      </c>
      <c r="C72" s="8" t="inlineStr">
        <is>
          <t>Đồng bộ thời gian qua máy chủ thời gian (NTP) cho mọi thành phần tham gia giám sát</t>
        </is>
      </c>
      <c r="D72" s="8" t="inlineStr">
        <is>
          <t>3.8.2.1 a)</t>
        </is>
      </c>
      <c r="E72" s="8" t="inlineStr">
        <is>
          <t>4.8.2.1 a)</t>
        </is>
      </c>
      <c r="F72" s="8" t="inlineStr">
        <is>
          <t>C1+C2</t>
        </is>
      </c>
      <c r="G72" s="8" t="inlineStr">
        <is>
          <t>Cấu hình NTP</t>
        </is>
      </c>
      <c r="H72" s="13">
        <f>IF('Hướng dẫn'!$B$5=1,IF(LEFT(F72,6)="chỉ C2","Không","Có"),IF(LEFT(F72,6)="chỉ C1","Khuyến nghị","Có"))</f>
        <v/>
      </c>
      <c r="I72" s="12" t="n"/>
      <c r="J72" s="12" t="n"/>
      <c r="K72" s="12" t="n"/>
      <c r="L72" s="12" t="n"/>
    </row>
    <row r="73">
      <c r="A73" s="8" t="inlineStr">
        <is>
          <t>C12-08-05</t>
        </is>
      </c>
      <c r="B73" s="8" t="inlineStr">
        <is>
          <t>8. Nhật ký ANM</t>
        </is>
      </c>
      <c r="C73" s="8" t="inlineStr">
        <is>
          <t>Bảo đảm dung lượng lưu log tối thiểu 1 tháng</t>
        </is>
      </c>
      <c r="D73" s="8" t="inlineStr">
        <is>
          <t>—</t>
        </is>
      </c>
      <c r="E73" s="8" t="inlineStr">
        <is>
          <t>4.8.2.1 a)</t>
        </is>
      </c>
      <c r="F73" s="8" t="inlineStr">
        <is>
          <t>chỉ C2</t>
        </is>
      </c>
      <c r="G73" s="8" t="inlineStr">
        <is>
          <t>Cấu hình retention, ảnh chụp dung lượng</t>
        </is>
      </c>
      <c r="H73" s="13">
        <f>IF('Hướng dẫn'!$B$5=1,IF(LEFT(F73,6)="chỉ C2","Không","Có"),IF(LEFT(F73,6)="chỉ C1","Khuyến nghị","Có"))</f>
        <v/>
      </c>
      <c r="I73" s="12" t="n"/>
      <c r="J73" s="12" t="n"/>
      <c r="K73" s="12" t="n"/>
      <c r="L73" s="12" t="n"/>
    </row>
    <row r="74">
      <c r="A74" s="8" t="inlineStr">
        <is>
          <t>C12-08-06</t>
        </is>
      </c>
      <c r="B74" s="8" t="inlineStr">
        <is>
          <t>8. Nhật ký ANM</t>
        </is>
      </c>
      <c r="C74" s="8" t="inlineStr">
        <is>
          <t>Rà soát log ANM ≥ 1 lần/năm</t>
        </is>
      </c>
      <c r="D74" s="8" t="inlineStr">
        <is>
          <t>3.8.2.1 a)</t>
        </is>
      </c>
      <c r="E74" s="8" t="inlineStr">
        <is>
          <t>4.8.2.1 a)</t>
        </is>
      </c>
      <c r="F74" s="8" t="inlineStr">
        <is>
          <t>C1+C2</t>
        </is>
      </c>
      <c r="G74" s="8" t="inlineStr">
        <is>
          <t>Biên bản rà soát log</t>
        </is>
      </c>
      <c r="H74" s="13">
        <f>IF('Hướng dẫn'!$B$5=1,IF(LEFT(F74,6)="chỉ C2","Không","Có"),IF(LEFT(F74,6)="chỉ C1","Khuyến nghị","Có"))</f>
        <v/>
      </c>
      <c r="I74" s="12" t="n"/>
      <c r="J74" s="12" t="n"/>
      <c r="K74" s="12" t="n"/>
      <c r="L74" s="12" t="n"/>
    </row>
    <row r="75">
      <c r="A75" s="8" t="inlineStr">
        <is>
          <t>C12-08-07</t>
        </is>
      </c>
      <c r="B75" s="8" t="inlineStr">
        <is>
          <t>8. Nhật ký ANM</t>
        </is>
      </c>
      <c r="C75" s="8" t="inlineStr">
        <is>
          <t>Kiểm tra, cập nhật quy trình quản lý log ≥ 1 lần/năm hoặc khi thay đổi</t>
        </is>
      </c>
      <c r="D75" s="8" t="inlineStr">
        <is>
          <t>3.8.2.1 b)</t>
        </is>
      </c>
      <c r="E75" s="8" t="inlineStr">
        <is>
          <t>4.8.2.1 b)</t>
        </is>
      </c>
      <c r="F75" s="8" t="inlineStr">
        <is>
          <t>C1+C2</t>
        </is>
      </c>
      <c r="G75" s="8" t="inlineStr">
        <is>
          <t>Lịch sử phiên bản</t>
        </is>
      </c>
      <c r="H75" s="13">
        <f>IF('Hướng dẫn'!$B$5=1,IF(LEFT(F75,6)="chỉ C2","Không","Có"),IF(LEFT(F75,6)="chỉ C1","Khuyến nghị","Có"))</f>
        <v/>
      </c>
      <c r="I75" s="12" t="n"/>
      <c r="J75" s="12" t="n"/>
      <c r="K75" s="12" t="n"/>
      <c r="L75" s="12" t="n"/>
    </row>
    <row r="76">
      <c r="A76" s="8" t="inlineStr">
        <is>
          <t>C12-09-01</t>
        </is>
      </c>
      <c r="B76" s="8" t="inlineStr">
        <is>
          <t>9. Trình duyệt, thư điện tử</t>
        </is>
      </c>
      <c r="C76" s="8" t="inlineStr">
        <is>
          <t>Danh sách trình duyệt và dịch vụ email được phép</t>
        </is>
      </c>
      <c r="D76" s="8" t="inlineStr">
        <is>
          <t>3.9.2.1 a)</t>
        </is>
      </c>
      <c r="E76" s="8" t="inlineStr">
        <is>
          <t>4.9.2.1 a)</t>
        </is>
      </c>
      <c r="F76" s="8" t="inlineStr">
        <is>
          <t>C1+C2</t>
        </is>
      </c>
      <c r="G76" s="8" t="inlineStr">
        <is>
          <t>Danh sách được phép</t>
        </is>
      </c>
      <c r="H76" s="13">
        <f>IF('Hướng dẫn'!$B$5=1,IF(LEFT(F76,6)="chỉ C2","Không","Có"),IF(LEFT(F76,6)="chỉ C1","Khuyến nghị","Có"))</f>
        <v/>
      </c>
      <c r="I76" s="12" t="n"/>
      <c r="J76" s="12" t="n"/>
      <c r="K76" s="12" t="n"/>
      <c r="L76" s="12" t="n"/>
    </row>
    <row r="77">
      <c r="A77" s="8" t="inlineStr">
        <is>
          <t>C12-09-02</t>
        </is>
      </c>
      <c r="B77" s="8" t="inlineStr">
        <is>
          <t>9. Trình duyệt, thư điện tử</t>
        </is>
      </c>
      <c r="C77" s="8" t="inlineStr">
        <is>
          <t>Chỉ dùng phiên bản còn được hãng hỗ trợ</t>
        </is>
      </c>
      <c r="D77" s="8" t="inlineStr">
        <is>
          <t>3.9.2.1 b)</t>
        </is>
      </c>
      <c r="E77" s="8" t="inlineStr">
        <is>
          <t>4.9.2.1 b)</t>
        </is>
      </c>
      <c r="F77" s="8" t="inlineStr">
        <is>
          <t>C1+C2</t>
        </is>
      </c>
      <c r="G77" s="8" t="inlineStr">
        <is>
          <t>Báo cáo phiên bản</t>
        </is>
      </c>
      <c r="H77" s="13">
        <f>IF('Hướng dẫn'!$B$5=1,IF(LEFT(F77,6)="chỉ C2","Không","Có"),IF(LEFT(F77,6)="chỉ C1","Khuyến nghị","Có"))</f>
        <v/>
      </c>
      <c r="I77" s="12" t="n"/>
      <c r="J77" s="12" t="n"/>
      <c r="K77" s="12" t="n"/>
      <c r="L77" s="12" t="n"/>
    </row>
    <row r="78">
      <c r="A78" s="8" t="inlineStr">
        <is>
          <t>C12-09-03</t>
        </is>
      </c>
      <c r="B78" s="8" t="inlineStr">
        <is>
          <t>9. Trình duyệt, thư điện tử</t>
        </is>
      </c>
      <c r="C78" s="8" t="inlineStr">
        <is>
          <t>Cập nhật bản vá trình duyệt, email thường xuyên (hoặc biện pháp tương đương)</t>
        </is>
      </c>
      <c r="D78" s="8" t="inlineStr">
        <is>
          <t>3.9.2.1 c)</t>
        </is>
      </c>
      <c r="E78" s="8" t="inlineStr">
        <is>
          <t>4.9.2.1 c)</t>
        </is>
      </c>
      <c r="F78" s="8" t="inlineStr">
        <is>
          <t>C1+C2</t>
        </is>
      </c>
      <c r="G78" s="8" t="inlineStr">
        <is>
          <t>Báo cáo bản vá</t>
        </is>
      </c>
      <c r="H78" s="13">
        <f>IF('Hướng dẫn'!$B$5=1,IF(LEFT(F78,6)="chỉ C2","Không","Có"),IF(LEFT(F78,6)="chỉ C1","Khuyến nghị","Có"))</f>
        <v/>
      </c>
      <c r="I78" s="12" t="n"/>
      <c r="J78" s="12" t="n"/>
      <c r="K78" s="12" t="n"/>
      <c r="L78" s="12" t="n"/>
    </row>
    <row r="79">
      <c r="A79" s="8" t="inlineStr">
        <is>
          <t>C12-09-04</t>
        </is>
      </c>
      <c r="B79" s="8" t="inlineStr">
        <is>
          <t>9. Trình duyệt, thư điện tử</t>
        </is>
      </c>
      <c r="C79" s="8" t="inlineStr">
        <is>
          <t>Dùng dịch vụ lọc tên miền (DNS filtering) chặn tên miền giả mạo, độc hại</t>
        </is>
      </c>
      <c r="D79" s="8" t="inlineStr">
        <is>
          <t>3.9.2.2</t>
        </is>
      </c>
      <c r="E79" s="8" t="inlineStr">
        <is>
          <t>4.9.2.2</t>
        </is>
      </c>
      <c r="F79" s="8" t="inlineStr">
        <is>
          <t>C1+C2</t>
        </is>
      </c>
      <c r="G79" s="8" t="inlineStr">
        <is>
          <t>Cấu hình DNS filtering</t>
        </is>
      </c>
      <c r="H79" s="13">
        <f>IF('Hướng dẫn'!$B$5=1,IF(LEFT(F79,6)="chỉ C2","Không","Có"),IF(LEFT(F79,6)="chỉ C1","Khuyến nghị","Có"))</f>
        <v/>
      </c>
      <c r="I79" s="12" t="n"/>
      <c r="J79" s="12" t="n"/>
      <c r="K79" s="12" t="n"/>
      <c r="L79" s="12" t="n"/>
    </row>
    <row r="80">
      <c r="A80" s="8" t="inlineStr">
        <is>
          <t>C12-10-01</t>
        </is>
      </c>
      <c r="B80" s="8" t="inlineStr">
        <is>
          <t>10. Phòng chống mã độc</t>
        </is>
      </c>
      <c r="C80" s="8" t="inlineStr">
        <is>
          <t>Quy định phòng, chống, khắc phục mã độc</t>
        </is>
      </c>
      <c r="D80" s="8" t="inlineStr">
        <is>
          <t>3.10.1 a)</t>
        </is>
      </c>
      <c r="E80" s="8" t="inlineStr">
        <is>
          <t>4.10.1 a)</t>
        </is>
      </c>
      <c r="F80" s="8" t="inlineStr">
        <is>
          <t>C1+C2</t>
        </is>
      </c>
      <c r="G80" s="8" t="inlineStr">
        <is>
          <t>Quy định phòng chống mã độc</t>
        </is>
      </c>
      <c r="H80" s="13">
        <f>IF('Hướng dẫn'!$B$5=1,IF(LEFT(F80,6)="chỉ C2","Không","Có"),IF(LEFT(F80,6)="chỉ C1","Khuyến nghị","Có"))</f>
        <v/>
      </c>
      <c r="I80" s="12" t="n"/>
      <c r="J80" s="12" t="n"/>
      <c r="K80" s="12" t="n"/>
      <c r="L80" s="12" t="n"/>
    </row>
    <row r="81">
      <c r="A81" s="8" t="inlineStr">
        <is>
          <t>C12-10-02</t>
        </is>
      </c>
      <c r="B81" s="8" t="inlineStr">
        <is>
          <t>10. Phòng chống mã độc</t>
        </is>
      </c>
      <c r="C81" s="8" t="inlineStr">
        <is>
          <t>Chống mã độc cho mọi tài sản và điểm kết nối (trong và ngoài); tự quét, chặn, cập nhật mẫu, gắn với quy trình lỗ hổng/sự cố</t>
        </is>
      </c>
      <c r="D81" s="8" t="inlineStr">
        <is>
          <t>3.10.1 b)</t>
        </is>
      </c>
      <c r="E81" s="8" t="inlineStr">
        <is>
          <t>4.10.1 b)</t>
        </is>
      </c>
      <c r="F81" s="8" t="inlineStr">
        <is>
          <t>C1+C2</t>
        </is>
      </c>
      <c r="G81" s="8" t="inlineStr">
        <is>
          <t>Kiến trúc giải pháp</t>
        </is>
      </c>
      <c r="H81" s="13">
        <f>IF('Hướng dẫn'!$B$5=1,IF(LEFT(F81,6)="chỉ C2","Không","Có"),IF(LEFT(F81,6)="chỉ C1","Khuyến nghị","Có"))</f>
        <v/>
      </c>
      <c r="I81" s="12" t="n"/>
      <c r="J81" s="12" t="n"/>
      <c r="K81" s="12" t="n"/>
      <c r="L81" s="12" t="n"/>
    </row>
    <row r="82">
      <c r="A82" s="8" t="inlineStr">
        <is>
          <t>C12-10-03</t>
        </is>
      </c>
      <c r="B82" s="8" t="inlineStr">
        <is>
          <t>10. Phòng chống mã độc</t>
        </is>
      </c>
      <c r="C82" s="8" t="inlineStr">
        <is>
          <t>Cài và duy trì phần mềm chống mã độc (hoặc tương đương) trên máy chủ, máy người dùng</t>
        </is>
      </c>
      <c r="D82" s="8" t="inlineStr">
        <is>
          <t>3.10.2.1 a)</t>
        </is>
      </c>
      <c r="E82" s="8" t="inlineStr">
        <is>
          <t>4.10.2.1 a)</t>
        </is>
      </c>
      <c r="F82" s="8" t="inlineStr">
        <is>
          <t>C1+C2</t>
        </is>
      </c>
      <c r="G82" s="8" t="inlineStr">
        <is>
          <t>Báo cáo độ phủ agent</t>
        </is>
      </c>
      <c r="H82" s="13">
        <f>IF('Hướng dẫn'!$B$5=1,IF(LEFT(F82,6)="chỉ C2","Không","Có"),IF(LEFT(F82,6)="chỉ C1","Khuyến nghị","Có"))</f>
        <v/>
      </c>
      <c r="I82" s="12" t="n"/>
      <c r="J82" s="12" t="n"/>
      <c r="K82" s="12" t="n"/>
      <c r="L82" s="12" t="n"/>
    </row>
    <row r="83">
      <c r="A83" s="8" t="inlineStr">
        <is>
          <t>C12-10-04</t>
        </is>
      </c>
      <c r="B83" s="8" t="inlineStr">
        <is>
          <t>10. Phòng chống mã độc</t>
        </is>
      </c>
      <c r="C83" s="8" t="inlineStr">
        <is>
          <t>Tính năng tối thiểu: bảo vệ thời gian thực, tự cập nhật mẫu nhận diện</t>
        </is>
      </c>
      <c r="D83" s="8" t="inlineStr">
        <is>
          <t>3.10.2.1 b)</t>
        </is>
      </c>
      <c r="E83" s="8" t="inlineStr">
        <is>
          <t>4.10.2.1 b)</t>
        </is>
      </c>
      <c r="F83" s="8" t="inlineStr">
        <is>
          <t>C1+C2</t>
        </is>
      </c>
      <c r="G83" s="8" t="inlineStr">
        <is>
          <t>Cấu hình sản phẩm</t>
        </is>
      </c>
      <c r="H83" s="13">
        <f>IF('Hướng dẫn'!$B$5=1,IF(LEFT(F83,6)="chỉ C2","Không","Có"),IF(LEFT(F83,6)="chỉ C1","Khuyến nghị","Có"))</f>
        <v/>
      </c>
      <c r="I83" s="12" t="n"/>
      <c r="J83" s="12" t="n"/>
      <c r="K83" s="12" t="n"/>
      <c r="L83" s="12" t="n"/>
    </row>
    <row r="84">
      <c r="A84" s="8" t="inlineStr">
        <is>
          <t>C12-10-05</t>
        </is>
      </c>
      <c r="B84" s="8" t="inlineStr">
        <is>
          <t>10. Phòng chống mã độc</t>
        </is>
      </c>
      <c r="C84" s="8" t="inlineStr">
        <is>
          <t>Quét mã độc và tắt autorun/autoplay với USB, ổ cứng, thẻ nhớ</t>
        </is>
      </c>
      <c r="D84" s="8" t="inlineStr">
        <is>
          <t>3.10.2.2</t>
        </is>
      </c>
      <c r="E84" s="8" t="inlineStr">
        <is>
          <t>4.10.2.2</t>
        </is>
      </c>
      <c r="F84" s="8" t="inlineStr">
        <is>
          <t>C1+C2</t>
        </is>
      </c>
      <c r="G84" s="8" t="inlineStr">
        <is>
          <t>GPO tắt autorun, chính sách quét</t>
        </is>
      </c>
      <c r="H84" s="13">
        <f>IF('Hướng dẫn'!$B$5=1,IF(LEFT(F84,6)="chỉ C2","Không","Có"),IF(LEFT(F84,6)="chỉ C1","Khuyến nghị","Có"))</f>
        <v/>
      </c>
      <c r="I84" s="12" t="n"/>
      <c r="J84" s="12" t="n"/>
      <c r="K84" s="12" t="n"/>
      <c r="L84" s="12" t="n"/>
    </row>
    <row r="85">
      <c r="A85" s="8" t="inlineStr">
        <is>
          <t>C12-11-01</t>
        </is>
      </c>
      <c r="B85" s="8" t="inlineStr">
        <is>
          <t>11. Sao lưu, khôi phục</t>
        </is>
      </c>
      <c r="C85" s="8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D85" s="8" t="inlineStr">
        <is>
          <t>3.11.2.1 a)</t>
        </is>
      </c>
      <c r="E85" s="8" t="inlineStr">
        <is>
          <t>4.11.2.1 a)</t>
        </is>
      </c>
      <c r="F85" s="8" t="inlineStr">
        <is>
          <t>C1+C2</t>
        </is>
      </c>
      <c r="G85" s="8" t="inlineStr">
        <is>
          <t>Quy định sao lưu</t>
        </is>
      </c>
      <c r="H85" s="13">
        <f>IF('Hướng dẫn'!$B$5=1,IF(LEFT(F85,6)="chỉ C2","Không","Có"),IF(LEFT(F85,6)="chỉ C1","Khuyến nghị","Có"))</f>
        <v/>
      </c>
      <c r="I85" s="12" t="n"/>
      <c r="J85" s="12" t="n"/>
      <c r="K85" s="12" t="n"/>
      <c r="L85" s="12" t="n"/>
    </row>
    <row r="86">
      <c r="A86" s="8" t="inlineStr">
        <is>
          <t>C12-11-02</t>
        </is>
      </c>
      <c r="B86" s="8" t="inlineStr">
        <is>
          <t>11. Sao lưu, khôi phục</t>
        </is>
      </c>
      <c r="C86" s="8" t="inlineStr">
        <is>
          <t>Rà soát quy định sao lưu ≥ 1 lần/năm hoặc khi thay đổi</t>
        </is>
      </c>
      <c r="D86" s="8" t="inlineStr">
        <is>
          <t>3.11.2.1 b)</t>
        </is>
      </c>
      <c r="E86" s="8" t="inlineStr">
        <is>
          <t>4.11.2.1 b)</t>
        </is>
      </c>
      <c r="F86" s="8" t="inlineStr">
        <is>
          <t>C1+C2</t>
        </is>
      </c>
      <c r="G86" s="8" t="inlineStr">
        <is>
          <t>Lịch sử phiên bản</t>
        </is>
      </c>
      <c r="H86" s="13">
        <f>IF('Hướng dẫn'!$B$5=1,IF(LEFT(F86,6)="chỉ C2","Không","Có"),IF(LEFT(F86,6)="chỉ C1","Khuyến nghị","Có"))</f>
        <v/>
      </c>
      <c r="I86" s="12" t="n"/>
      <c r="J86" s="12" t="n"/>
      <c r="K86" s="12" t="n"/>
      <c r="L86" s="12" t="n"/>
    </row>
    <row r="87">
      <c r="A87" s="8" t="inlineStr">
        <is>
          <t>C12-11-03</t>
        </is>
      </c>
      <c r="B87" s="8" t="inlineStr">
        <is>
          <t>11. Sao lưu, khôi phục</t>
        </is>
      </c>
      <c r="C87" s="8" t="inlineStr">
        <is>
          <t>Danh sách dữ liệu cần sao lưu và tần suất theo ngày/tuần/tháng…</t>
        </is>
      </c>
      <c r="D87" s="8" t="inlineStr">
        <is>
          <t>3.11.2.2</t>
        </is>
      </c>
      <c r="E87" s="8" t="inlineStr">
        <is>
          <t>4.11.2.2</t>
        </is>
      </c>
      <c r="F87" s="8" t="inlineStr">
        <is>
          <t>C1+C2</t>
        </is>
      </c>
      <c r="G87" s="8" t="inlineStr">
        <is>
          <t>Bảng lịch sao lưu</t>
        </is>
      </c>
      <c r="H87" s="13">
        <f>IF('Hướng dẫn'!$B$5=1,IF(LEFT(F87,6)="chỉ C2","Không","Có"),IF(LEFT(F87,6)="chỉ C1","Khuyến nghị","Có"))</f>
        <v/>
      </c>
      <c r="I87" s="12" t="n"/>
      <c r="J87" s="12" t="n"/>
      <c r="K87" s="12" t="n"/>
      <c r="L87" s="12" t="n"/>
    </row>
    <row r="88">
      <c r="A88" s="8" t="inlineStr">
        <is>
          <t>C12-11-04</t>
        </is>
      </c>
      <c r="B88" s="8" t="inlineStr">
        <is>
          <t>11. Sao lưu, khôi phục</t>
        </is>
      </c>
      <c r="C88" s="8" t="inlineStr">
        <is>
          <t>Bảo vệ bản sao lưu: toàn vẹn, sẵn sàng, khôi phục được</t>
        </is>
      </c>
      <c r="D88" s="8" t="inlineStr">
        <is>
          <t>3.11.2.3</t>
        </is>
      </c>
      <c r="E88" s="8" t="inlineStr">
        <is>
          <t>4.11.2.3</t>
        </is>
      </c>
      <c r="F88" s="8" t="inlineStr">
        <is>
          <t>C1+C2</t>
        </is>
      </c>
      <c r="G88" s="8" t="inlineStr">
        <is>
          <t>Cấu hình bảo vệ</t>
        </is>
      </c>
      <c r="H88" s="13">
        <f>IF('Hướng dẫn'!$B$5=1,IF(LEFT(F88,6)="chỉ C2","Không","Có"),IF(LEFT(F88,6)="chỉ C1","Khuyến nghị","Có"))</f>
        <v/>
      </c>
      <c r="I88" s="12" t="n"/>
      <c r="J88" s="12" t="n"/>
      <c r="K88" s="12" t="n"/>
      <c r="L88" s="12" t="n"/>
    </row>
    <row r="89">
      <c r="A89" s="8" t="inlineStr">
        <is>
          <t>C12-11-05</t>
        </is>
      </c>
      <c r="B89" s="8" t="inlineStr">
        <is>
          <t>11. Sao lưu, khôi phục</t>
        </is>
      </c>
      <c r="C89" s="8" t="inlineStr">
        <is>
          <t>Định danh, quản lý phiên bản bản sao lưu; lưu trên hạ tầng tách biệt môi trường vận hành</t>
        </is>
      </c>
      <c r="D89" s="8" t="inlineStr">
        <is>
          <t>—</t>
        </is>
      </c>
      <c r="E89" s="8" t="inlineStr">
        <is>
          <t>4.11.2.4</t>
        </is>
      </c>
      <c r="F89" s="8" t="inlineStr">
        <is>
          <t>chỉ C2</t>
        </is>
      </c>
      <c r="G89" s="8" t="inlineStr">
        <is>
          <t>Sơ đồ hạ tầng backup</t>
        </is>
      </c>
      <c r="H89" s="13">
        <f>IF('Hướng dẫn'!$B$5=1,IF(LEFT(F89,6)="chỉ C2","Không","Có"),IF(LEFT(F89,6)="chỉ C1","Khuyến nghị","Có"))</f>
        <v/>
      </c>
      <c r="I89" s="12" t="n"/>
      <c r="J89" s="12" t="n"/>
      <c r="K89" s="12" t="n"/>
      <c r="L89" s="12" t="n"/>
    </row>
    <row r="90">
      <c r="A90" s="8" t="inlineStr">
        <is>
          <t>C12-12-01</t>
        </is>
      </c>
      <c r="B90" s="8" t="inlineStr">
        <is>
          <t>12. Hạ tầng mạng</t>
        </is>
      </c>
      <c r="C90" s="8" t="inlineStr">
        <is>
          <t>Sơ đồ kiến trúc mạng và hồ sơ mạng (C1: có phương án lập, duy trì; C2: thiết lập, duy trì thực tế)</t>
        </is>
      </c>
      <c r="D90" s="8" t="inlineStr">
        <is>
          <t>3.12.2.1 a)</t>
        </is>
      </c>
      <c r="E90" s="8" t="inlineStr">
        <is>
          <t>4.12.2.1 a)</t>
        </is>
      </c>
      <c r="F90" s="8" t="inlineStr">
        <is>
          <t>C1+C2</t>
        </is>
      </c>
      <c r="G90" s="8" t="inlineStr">
        <is>
          <t>Phương án (C1); sơ đồ mạng hiện hành (C2)</t>
        </is>
      </c>
      <c r="H90" s="13">
        <f>IF('Hướng dẫn'!$B$5=1,IF(LEFT(F90,6)="chỉ C2","Không","Có"),IF(LEFT(F90,6)="chỉ C1","Khuyến nghị","Có"))</f>
        <v/>
      </c>
      <c r="I90" s="12" t="n"/>
      <c r="J90" s="12" t="n"/>
      <c r="K90" s="12" t="n"/>
      <c r="L90" s="12" t="n"/>
    </row>
    <row r="91">
      <c r="A91" s="8" t="inlineStr">
        <is>
          <t>C12-12-02</t>
        </is>
      </c>
      <c r="B91" s="8" t="inlineStr">
        <is>
          <t>12. Hạ tầng mạng</t>
        </is>
      </c>
      <c r="C91" s="8" t="inlineStr">
        <is>
          <t>Kiến trúc mạng an toàn theo 3 nguyên tắc: phân vùng, đặc quyền tối thiểu, sẵn sàng (C1: có phương án; C2: triển khai thực tế)</t>
        </is>
      </c>
      <c r="D91" s="8" t="inlineStr">
        <is>
          <t>3.12.2.1 b)</t>
        </is>
      </c>
      <c r="E91" s="8" t="inlineStr">
        <is>
          <t>4.12.2.1 b)</t>
        </is>
      </c>
      <c r="F91" s="8" t="inlineStr">
        <is>
          <t>C1+C2</t>
        </is>
      </c>
      <c r="G91" s="8" t="inlineStr">
        <is>
          <t>Phương án kiến trúc (C1); cấu hình phân vùng (C2)</t>
        </is>
      </c>
      <c r="H91" s="13">
        <f>IF('Hướng dẫn'!$B$5=1,IF(LEFT(F91,6)="chỉ C2","Không","Có"),IF(LEFT(F91,6)="chỉ C1","Khuyến nghị","Có"))</f>
        <v/>
      </c>
      <c r="I91" s="12" t="n"/>
      <c r="J91" s="12" t="n"/>
      <c r="K91" s="12" t="n"/>
      <c r="L91" s="12" t="n"/>
    </row>
    <row r="92">
      <c r="A92" s="8" t="inlineStr">
        <is>
          <t>C12-12-03</t>
        </is>
      </c>
      <c r="B92" s="8" t="inlineStr">
        <is>
          <t>12. Hạ tầng mạng</t>
        </is>
      </c>
      <c r="C92" s="8" t="inlineStr">
        <is>
          <t>Hồ sơ mạng gồm: tổng quan kiến trúc, sơ đồ chi tiết, tài liệu kỹ thuật, mô tả phương án ANM</t>
        </is>
      </c>
      <c r="D92" s="8" t="inlineStr">
        <is>
          <t>3.12.2.1 c)</t>
        </is>
      </c>
      <c r="E92" s="8" t="inlineStr">
        <is>
          <t>4.12.2.1 c)</t>
        </is>
      </c>
      <c r="F92" s="8" t="inlineStr">
        <is>
          <t>C1+C2</t>
        </is>
      </c>
      <c r="G92" s="8" t="inlineStr">
        <is>
          <t>Bộ hồ sơ mạng</t>
        </is>
      </c>
      <c r="H92" s="13">
        <f>IF('Hướng dẫn'!$B$5=1,IF(LEFT(F92,6)="chỉ C2","Không","Có"),IF(LEFT(F92,6)="chỉ C1","Khuyến nghị","Có"))</f>
        <v/>
      </c>
      <c r="I92" s="12" t="n"/>
      <c r="J92" s="12" t="n"/>
      <c r="K92" s="12" t="n"/>
      <c r="L92" s="12" t="n"/>
    </row>
    <row r="93">
      <c r="A93" s="8" t="inlineStr">
        <is>
          <t>C12-12-04</t>
        </is>
      </c>
      <c r="B93" s="8" t="inlineStr">
        <is>
          <t>12. Hạ tầng mạng</t>
        </is>
      </c>
      <c r="C93" s="8" t="inlineStr">
        <is>
          <t>Khi đổi thiết kế, đánh giá lại sự phù hợp với yêu cầu an toàn</t>
        </is>
      </c>
      <c r="D93" s="8" t="inlineStr">
        <is>
          <t>—</t>
        </is>
      </c>
      <c r="E93" s="8" t="inlineStr">
        <is>
          <t>4.12.2.1 d)</t>
        </is>
      </c>
      <c r="F93" s="8" t="inlineStr">
        <is>
          <t>chỉ C2</t>
        </is>
      </c>
      <c r="G93" s="8" t="inlineStr">
        <is>
          <t>Biên bản đánh giá thay đổi</t>
        </is>
      </c>
      <c r="H93" s="13">
        <f>IF('Hướng dẫn'!$B$5=1,IF(LEFT(F93,6)="chỉ C2","Không","Có"),IF(LEFT(F93,6)="chỉ C1","Khuyến nghị","Có"))</f>
        <v/>
      </c>
      <c r="I93" s="12" t="n"/>
      <c r="J93" s="12" t="n"/>
      <c r="K93" s="12" t="n"/>
      <c r="L93" s="12" t="n"/>
    </row>
    <row r="94">
      <c r="A94" s="8" t="inlineStr">
        <is>
          <t>C12-12-05</t>
        </is>
      </c>
      <c r="B94" s="8" t="inlineStr">
        <is>
          <t>12. Hạ tầng mạng</t>
        </is>
      </c>
      <c r="C94" s="8" t="inlineStr">
        <is>
          <t>Cập nhật sơ đồ mạng 1 lần/năm hoặc khi thay đổi</t>
        </is>
      </c>
      <c r="D94" s="8" t="inlineStr">
        <is>
          <t>3.12.2.1 d)</t>
        </is>
      </c>
      <c r="E94" s="8" t="inlineStr">
        <is>
          <t>4.12.2.1 e)</t>
        </is>
      </c>
      <c r="F94" s="8" t="inlineStr">
        <is>
          <t>C1+C2</t>
        </is>
      </c>
      <c r="G94" s="8" t="inlineStr">
        <is>
          <t>Lịch sử phiên bản sơ đồ</t>
        </is>
      </c>
      <c r="H94" s="13">
        <f>IF('Hướng dẫn'!$B$5=1,IF(LEFT(F94,6)="chỉ C2","Không","Có"),IF(LEFT(F94,6)="chỉ C1","Khuyến nghị","Có"))</f>
        <v/>
      </c>
      <c r="I94" s="12" t="n"/>
      <c r="J94" s="12" t="n"/>
      <c r="K94" s="12" t="n"/>
      <c r="L94" s="12" t="n"/>
    </row>
    <row r="95">
      <c r="A95" s="8" t="inlineStr">
        <is>
          <t>C12-12-06</t>
        </is>
      </c>
      <c r="B95" s="8" t="inlineStr">
        <is>
          <t>12. Hạ tầng mạng</t>
        </is>
      </c>
      <c r="C95" s="8" t="inlineStr">
        <is>
          <t>Có phương án dự phòng cho thiết bị mạng chính</t>
        </is>
      </c>
      <c r="D95" s="8" t="inlineStr">
        <is>
          <t>3.12.2.2</t>
        </is>
      </c>
      <c r="E95" s="8" t="inlineStr">
        <is>
          <t>4.12.2.2 a)</t>
        </is>
      </c>
      <c r="F95" s="8" t="inlineStr">
        <is>
          <t>C1+C2</t>
        </is>
      </c>
      <c r="G95" s="8" t="inlineStr">
        <is>
          <t>Sơ đồ HA, hợp đồng kênh truyền</t>
        </is>
      </c>
      <c r="H95" s="13">
        <f>IF('Hướng dẫn'!$B$5=1,IF(LEFT(F95,6)="chỉ C2","Không","Có"),IF(LEFT(F95,6)="chỉ C1","Khuyến nghị","Có"))</f>
        <v/>
      </c>
      <c r="I95" s="12" t="n"/>
      <c r="J95" s="12" t="n"/>
      <c r="K95" s="12" t="n"/>
      <c r="L95" s="12" t="n"/>
    </row>
    <row r="96">
      <c r="A96" s="8" t="inlineStr">
        <is>
          <t>C12-12-07</t>
        </is>
      </c>
      <c r="B96" s="8" t="inlineStr">
        <is>
          <t>12. Hạ tầng mạng</t>
        </is>
      </c>
      <c r="C96" s="8" t="inlineStr">
        <is>
          <t>Tường lửa có IPS (hoặc tương đương) kiểm soát truy cập, chống xâm nhập giữa các vùng mạng</t>
        </is>
      </c>
      <c r="D96" s="8" t="inlineStr">
        <is>
          <t>3.12.2.2</t>
        </is>
      </c>
      <c r="E96" s="8" t="inlineStr">
        <is>
          <t>4.12.2.2 a)</t>
        </is>
      </c>
      <c r="F96" s="8" t="inlineStr">
        <is>
          <t>C1+C2</t>
        </is>
      </c>
      <c r="G96" s="8" t="inlineStr">
        <is>
          <t>Cấu hình NGFW/IPS</t>
        </is>
      </c>
      <c r="H96" s="13">
        <f>IF('Hướng dẫn'!$B$5=1,IF(LEFT(F96,6)="chỉ C2","Không","Có"),IF(LEFT(F96,6)="chỉ C1","Khuyến nghị","Có"))</f>
        <v/>
      </c>
      <c r="I96" s="12" t="n"/>
      <c r="J96" s="12" t="n"/>
      <c r="K96" s="12" t="n"/>
      <c r="L96" s="12" t="n"/>
    </row>
    <row r="97">
      <c r="A97" s="8" t="inlineStr">
        <is>
          <t>C12-12-08</t>
        </is>
      </c>
      <c r="B97" s="8" t="inlineStr">
        <is>
          <t>12. Hạ tầng mạng</t>
        </is>
      </c>
      <c r="C97" s="8" t="inlineStr">
        <is>
          <t>Kiểm soát truy cập của thiết bị đầu cuối, máy tính người dùng khi kết nối vào mạng</t>
        </is>
      </c>
      <c r="D97" s="8" t="inlineStr">
        <is>
          <t>3.12.2.2</t>
        </is>
      </c>
      <c r="E97" s="8" t="inlineStr">
        <is>
          <t>—</t>
        </is>
      </c>
      <c r="F97" s="8" t="inlineStr">
        <is>
          <t>chỉ C1 (khuyến nghị giữ ở C2)</t>
        </is>
      </c>
      <c r="G97" s="8" t="inlineStr">
        <is>
          <t>Cấu hình NAC/802.1X hoặc danh sách MAC</t>
        </is>
      </c>
      <c r="H97" s="13">
        <f>IF('Hướng dẫn'!$B$5=1,IF(LEFT(F97,6)="chỉ C2","Không","Có"),IF(LEFT(F97,6)="chỉ C1","Khuyến nghị","Có"))</f>
        <v/>
      </c>
      <c r="I97" s="12" t="n"/>
      <c r="J97" s="12" t="n"/>
      <c r="K97" s="12" t="n"/>
      <c r="L97" s="12" t="n"/>
    </row>
    <row r="98">
      <c r="A98" s="8" t="inlineStr">
        <is>
          <t>C12-12-09</t>
        </is>
      </c>
      <c r="B98" s="8" t="inlineStr">
        <is>
          <t>12. Hạ tầng mạng</t>
        </is>
      </c>
      <c r="C98" s="8" t="inlineStr">
        <is>
          <t>WAF (hoặc tương đương) cho ứng dụng web (nếu có)</t>
        </is>
      </c>
      <c r="D98" s="8" t="inlineStr">
        <is>
          <t>—</t>
        </is>
      </c>
      <c r="E98" s="8" t="inlineStr">
        <is>
          <t>4.12.2.2 a)</t>
        </is>
      </c>
      <c r="F98" s="8" t="inlineStr">
        <is>
          <t>chỉ C2</t>
        </is>
      </c>
      <c r="G98" s="8" t="inlineStr">
        <is>
          <t>Cấu hình WAF</t>
        </is>
      </c>
      <c r="H98" s="13">
        <f>IF('Hướng dẫn'!$B$5=1,IF(LEFT(F98,6)="chỉ C2","Không","Có"),IF(LEFT(F98,6)="chỉ C1","Khuyến nghị","Có"))</f>
        <v/>
      </c>
      <c r="I98" s="12" t="n"/>
      <c r="J98" s="12" t="n"/>
      <c r="K98" s="12" t="n"/>
      <c r="L98" s="12" t="n"/>
    </row>
    <row r="99">
      <c r="A99" s="8" t="inlineStr">
        <is>
          <t>C12-12-10</t>
        </is>
      </c>
      <c r="B99" s="8" t="inlineStr">
        <is>
          <t>12. Hạ tầng mạng</t>
        </is>
      </c>
      <c r="C99" s="8" t="inlineStr">
        <is>
          <t>Cập nhật định kỳ CSDL nhận diện tấn công cho các giải pháp ANM</t>
        </is>
      </c>
      <c r="D99" s="8" t="inlineStr">
        <is>
          <t>3.12.2.2</t>
        </is>
      </c>
      <c r="E99" s="8" t="inlineStr">
        <is>
          <t>4.12.2.2 a)</t>
        </is>
      </c>
      <c r="F99" s="8" t="inlineStr">
        <is>
          <t>C1+C2</t>
        </is>
      </c>
      <c r="G99" s="8" t="inlineStr">
        <is>
          <t>Nhật ký cập nhật signature</t>
        </is>
      </c>
      <c r="H99" s="13">
        <f>IF('Hướng dẫn'!$B$5=1,IF(LEFT(F99,6)="chỉ C2","Không","Có"),IF(LEFT(F99,6)="chỉ C1","Khuyến nghị","Có"))</f>
        <v/>
      </c>
      <c r="I99" s="12" t="n"/>
      <c r="J99" s="12" t="n"/>
      <c r="K99" s="12" t="n"/>
      <c r="L99" s="12" t="n"/>
    </row>
    <row r="100">
      <c r="A100" s="8" t="inlineStr">
        <is>
          <t>C12-12-11</t>
        </is>
      </c>
      <c r="B100" s="8" t="inlineStr">
        <is>
          <t>12. Hạ tầng mạng</t>
        </is>
      </c>
      <c r="C100" s="8" t="inlineStr">
        <is>
          <t>Quản lý thay đổi</t>
        </is>
      </c>
      <c r="D100" s="8" t="inlineStr">
        <is>
          <t>3.12.2.2</t>
        </is>
      </c>
      <c r="E100" s="8" t="inlineStr">
        <is>
          <t>4.12.2.2 a)</t>
        </is>
      </c>
      <c r="F100" s="8" t="inlineStr">
        <is>
          <t>C1+C2</t>
        </is>
      </c>
      <c r="G100" s="8" t="inlineStr">
        <is>
          <t>Phiếu thay đổi (change request)</t>
        </is>
      </c>
      <c r="H100" s="13">
        <f>IF('Hướng dẫn'!$B$5=1,IF(LEFT(F100,6)="chỉ C2","Không","Có"),IF(LEFT(F100,6)="chỉ C1","Khuyến nghị","Có"))</f>
        <v/>
      </c>
      <c r="I100" s="12" t="n"/>
      <c r="J100" s="12" t="n"/>
      <c r="K100" s="12" t="n"/>
      <c r="L100" s="12" t="n"/>
    </row>
    <row r="101">
      <c r="A101" s="8" t="inlineStr">
        <is>
          <t>C12-12-12</t>
        </is>
      </c>
      <c r="B101" s="8" t="inlineStr">
        <is>
          <t>12. Hạ tầng mạng</t>
        </is>
      </c>
      <c r="C101" s="8" t="inlineStr">
        <is>
          <t>Theo dõi hiệu năng (CPU, RAM…) để bảo đảm hoạt động bình thường</t>
        </is>
      </c>
      <c r="D101" s="8" t="inlineStr">
        <is>
          <t>3.12.2.2</t>
        </is>
      </c>
      <c r="E101" s="8" t="inlineStr">
        <is>
          <t>4.12.2.2 a)</t>
        </is>
      </c>
      <c r="F101" s="8" t="inlineStr">
        <is>
          <t>C1+C2</t>
        </is>
      </c>
      <c r="G101" s="8" t="inlineStr">
        <is>
          <t>Dashboard giám sát</t>
        </is>
      </c>
      <c r="H101" s="13">
        <f>IF('Hướng dẫn'!$B$5=1,IF(LEFT(F101,6)="chỉ C2","Không","Có"),IF(LEFT(F101,6)="chỉ C1","Khuyến nghị","Có"))</f>
        <v/>
      </c>
      <c r="I101" s="12" t="n"/>
      <c r="J101" s="12" t="n"/>
      <c r="K101" s="12" t="n"/>
      <c r="L101" s="12" t="n"/>
    </row>
    <row r="102">
      <c r="A102" s="8" t="inlineStr">
        <is>
          <t>C12-12-13</t>
        </is>
      </c>
      <c r="B102" s="8" t="inlineStr">
        <is>
          <t>12. Hạ tầng mạng</t>
        </is>
      </c>
      <c r="C102" s="8" t="inlineStr">
        <is>
          <t>Phân vùng tối thiểu: máy chủ, DMZ, không dây (nếu có), nội bộ, biên</t>
        </is>
      </c>
      <c r="D102" s="8" t="inlineStr">
        <is>
          <t>—</t>
        </is>
      </c>
      <c r="E102" s="8" t="inlineStr">
        <is>
          <t>4.12.2.2 b)</t>
        </is>
      </c>
      <c r="F102" s="8" t="inlineStr">
        <is>
          <t>chỉ C2</t>
        </is>
      </c>
      <c r="G102" s="8" t="inlineStr">
        <is>
          <t>Sơ đồ phân vùng, ACL giữa vùng</t>
        </is>
      </c>
      <c r="H102" s="13">
        <f>IF('Hướng dẫn'!$B$5=1,IF(LEFT(F102,6)="chỉ C2","Không","Có"),IF(LEFT(F102,6)="chỉ C1","Khuyến nghị","Có"))</f>
        <v/>
      </c>
      <c r="I102" s="12" t="n"/>
      <c r="J102" s="12" t="n"/>
      <c r="K102" s="12" t="n"/>
      <c r="L102" s="12" t="n"/>
    </row>
    <row r="103">
      <c r="A103" s="8" t="inlineStr">
        <is>
          <t>C12-12-14</t>
        </is>
      </c>
      <c r="B103" s="8" t="inlineStr">
        <is>
          <t>12. Hạ tầng mạng</t>
        </is>
      </c>
      <c r="C103" s="8" t="inlineStr">
        <is>
          <t>Lập kế hoạch và quy trình kiểm thử, nghiệm thu (nêu rõ nội dung cần thử)</t>
        </is>
      </c>
      <c r="D103" s="8" t="inlineStr">
        <is>
          <t>3.12.2.3 a)</t>
        </is>
      </c>
      <c r="E103" s="8" t="inlineStr">
        <is>
          <t>4.12.2.3 a)</t>
        </is>
      </c>
      <c r="F103" s="8" t="inlineStr">
        <is>
          <t>C1+C2</t>
        </is>
      </c>
      <c r="G103" s="8" t="inlineStr">
        <is>
          <t>Kế hoạch thử nghiệm</t>
        </is>
      </c>
      <c r="H103" s="13">
        <f>IF('Hướng dẫn'!$B$5=1,IF(LEFT(F103,6)="chỉ C2","Không","Có"),IF(LEFT(F103,6)="chỉ C1","Khuyến nghị","Có"))</f>
        <v/>
      </c>
      <c r="I103" s="12" t="n"/>
      <c r="J103" s="12" t="n"/>
      <c r="K103" s="12" t="n"/>
      <c r="L103" s="12" t="n"/>
    </row>
    <row r="104">
      <c r="A104" s="8" t="inlineStr">
        <is>
          <t>C12-12-15</t>
        </is>
      </c>
      <c r="B104" s="8" t="inlineStr">
        <is>
          <t>12. Hạ tầng mạng</t>
        </is>
      </c>
      <c r="C104" s="8" t="inlineStr">
        <is>
          <t>Kiểm thử hệ thống trước khi đưa vào vận hành</t>
        </is>
      </c>
      <c r="D104" s="8" t="inlineStr">
        <is>
          <t>3.12.2.3 b)</t>
        </is>
      </c>
      <c r="E104" s="8" t="inlineStr">
        <is>
          <t>4.12.2.3 b)</t>
        </is>
      </c>
      <c r="F104" s="8" t="inlineStr">
        <is>
          <t>C1+C2</t>
        </is>
      </c>
      <c r="G104" s="8" t="inlineStr">
        <is>
          <t>Báo cáo kiểm thử</t>
        </is>
      </c>
      <c r="H104" s="13">
        <f>IF('Hướng dẫn'!$B$5=1,IF(LEFT(F104,6)="chỉ C2","Không","Có"),IF(LEFT(F104,6)="chỉ C1","Khuyến nghị","Có"))</f>
        <v/>
      </c>
      <c r="I104" s="12" t="n"/>
      <c r="J104" s="12" t="n"/>
      <c r="K104" s="12" t="n"/>
      <c r="L104" s="12" t="n"/>
    </row>
    <row r="105">
      <c r="A105" s="8" t="inlineStr">
        <is>
          <t>C12-12-16</t>
        </is>
      </c>
      <c r="B105" s="8" t="inlineStr">
        <is>
          <t>12. Hạ tầng mạng</t>
        </is>
      </c>
      <c r="C105" s="8" t="inlineStr">
        <is>
          <t>Có nhân sự phụ trách thử nghiệm, nghiệm thu</t>
        </is>
      </c>
      <c r="D105" s="8" t="inlineStr">
        <is>
          <t>3.12.2.3 c)</t>
        </is>
      </c>
      <c r="E105" s="8" t="inlineStr">
        <is>
          <t>4.12.2.3 c)</t>
        </is>
      </c>
      <c r="F105" s="8" t="inlineStr">
        <is>
          <t>C1+C2</t>
        </is>
      </c>
      <c r="G105" s="8" t="inlineStr">
        <is>
          <t>Quyết định phân công</t>
        </is>
      </c>
      <c r="H105" s="13">
        <f>IF('Hướng dẫn'!$B$5=1,IF(LEFT(F105,6)="chỉ C2","Không","Có"),IF(LEFT(F105,6)="chỉ C1","Khuyến nghị","Có"))</f>
        <v/>
      </c>
      <c r="I105" s="12" t="n"/>
      <c r="J105" s="12" t="n"/>
      <c r="K105" s="12" t="n"/>
      <c r="L105" s="12" t="n"/>
    </row>
    <row r="106">
      <c r="A106" s="8" t="inlineStr">
        <is>
          <t>C12-12-17</t>
        </is>
      </c>
      <c r="B106" s="8" t="inlineStr">
        <is>
          <t>12. Hạ tầng mạng</t>
        </is>
      </c>
      <c r="C106" s="8" t="inlineStr">
        <is>
          <t>Chỉ cho phép kết nối an toàn (nếu hỗ trợ) khi truy cập nội bộ hoặc quản trị từ xa</t>
        </is>
      </c>
      <c r="D106" s="8" t="inlineStr">
        <is>
          <t>3.12.2.4 a)</t>
        </is>
      </c>
      <c r="E106" s="8" t="inlineStr">
        <is>
          <t>4.12.2.4 a)</t>
        </is>
      </c>
      <c r="F106" s="8" t="inlineStr">
        <is>
          <t>C1+C2</t>
        </is>
      </c>
      <c r="G106" s="8" t="inlineStr">
        <is>
          <t>Cấu hình SSH/TLS, tắt Telnet/HTTP</t>
        </is>
      </c>
      <c r="H106" s="13">
        <f>IF('Hướng dẫn'!$B$5=1,IF(LEFT(F106,6)="chỉ C2","Không","Có"),IF(LEFT(F106,6)="chỉ C1","Khuyến nghị","Có"))</f>
        <v/>
      </c>
      <c r="I106" s="12" t="n"/>
      <c r="J106" s="12" t="n"/>
      <c r="K106" s="12" t="n"/>
      <c r="L106" s="12" t="n"/>
    </row>
    <row r="107">
      <c r="A107" s="8" t="inlineStr">
        <is>
          <t>C12-12-18</t>
        </is>
      </c>
      <c r="B107" s="8" t="inlineStr">
        <is>
          <t>12. Hạ tầng mạng</t>
        </is>
      </c>
      <c r="C107" s="8" t="inlineStr">
        <is>
          <t>Thiết bị phải yêu cầu đăng nhập khi quản trị tại chỗ cũng như từ xa</t>
        </is>
      </c>
      <c r="D107" s="8" t="inlineStr">
        <is>
          <t>3.12.2.4 b)</t>
        </is>
      </c>
      <c r="E107" s="8" t="inlineStr">
        <is>
          <t>—</t>
        </is>
      </c>
      <c r="F107" s="8" t="inlineStr">
        <is>
          <t>chỉ C1 (khuyến nghị giữ ở C2)</t>
        </is>
      </c>
      <c r="G107" s="8" t="inlineStr">
        <is>
          <t>Cấu hình xác thực thiết bị</t>
        </is>
      </c>
      <c r="H107" s="13">
        <f>IF('Hướng dẫn'!$B$5=1,IF(LEFT(F107,6)="chỉ C2","Không","Có"),IF(LEFT(F107,6)="chỉ C1","Khuyến nghị","Có"))</f>
        <v/>
      </c>
      <c r="I107" s="12" t="n"/>
      <c r="J107" s="12" t="n"/>
      <c r="K107" s="12" t="n"/>
      <c r="L107" s="12" t="n"/>
    </row>
    <row r="108">
      <c r="A108" s="8" t="inlineStr">
        <is>
          <t>C12-12-19</t>
        </is>
      </c>
      <c r="B108" s="8" t="inlineStr">
        <is>
          <t>12. Hạ tầng mạng</t>
        </is>
      </c>
      <c r="C108" s="8" t="inlineStr">
        <is>
          <t>Kiểm soát truy cập từ ngoài vào theo từng dịch vụ; chặn mọi truy cập không được phép</t>
        </is>
      </c>
      <c r="D108" s="8" t="inlineStr">
        <is>
          <t>3.12.2.4 c)</t>
        </is>
      </c>
      <c r="E108" s="8" t="inlineStr">
        <is>
          <t>4.12.2.4 b)</t>
        </is>
      </c>
      <c r="F108" s="8" t="inlineStr">
        <is>
          <t>C1+C2</t>
        </is>
      </c>
      <c r="G108" s="8" t="inlineStr">
        <is>
          <t>Rule firewall</t>
        </is>
      </c>
      <c r="H108" s="13">
        <f>IF('Hướng dẫn'!$B$5=1,IF(LEFT(F108,6)="chỉ C2","Không","Có"),IF(LEFT(F108,6)="chỉ C1","Khuyến nghị","Có"))</f>
        <v/>
      </c>
      <c r="I108" s="12" t="n"/>
      <c r="J108" s="12" t="n"/>
      <c r="K108" s="12" t="n"/>
      <c r="L108" s="12" t="n"/>
    </row>
    <row r="109">
      <c r="A109" s="8" t="inlineStr">
        <is>
          <t>C12-12-20</t>
        </is>
      </c>
      <c r="B109" s="8" t="inlineStr">
        <is>
          <t>12. Hạ tầng mạng</t>
        </is>
      </c>
      <c r="C109" s="8" t="inlineStr">
        <is>
          <t>Giới hạn dải địa chỉ/thiết bị được phép quản trị từ xa</t>
        </is>
      </c>
      <c r="D109" s="8" t="inlineStr">
        <is>
          <t>—</t>
        </is>
      </c>
      <c r="E109" s="8" t="inlineStr">
        <is>
          <t>4.12.2.4 c)</t>
        </is>
      </c>
      <c r="F109" s="8" t="inlineStr">
        <is>
          <t>chỉ C2</t>
        </is>
      </c>
      <c r="G109" s="8" t="inlineStr">
        <is>
          <t>ACL quản trị</t>
        </is>
      </c>
      <c r="H109" s="13">
        <f>IF('Hướng dẫn'!$B$5=1,IF(LEFT(F109,6)="chỉ C2","Không","Có"),IF(LEFT(F109,6)="chỉ C1","Khuyến nghị","Có"))</f>
        <v/>
      </c>
      <c r="I109" s="12" t="n"/>
      <c r="J109" s="12" t="n"/>
      <c r="K109" s="12" t="n"/>
      <c r="L109" s="12" t="n"/>
    </row>
    <row r="110">
      <c r="A110" s="8" t="inlineStr">
        <is>
          <t>C12-12-21</t>
        </is>
      </c>
      <c r="B110" s="8" t="inlineStr">
        <is>
          <t>12. Hạ tầng mạng</t>
        </is>
      </c>
      <c r="C110" s="8" t="inlineStr">
        <is>
          <t>Đặt timeout tự đóng phiên kết nối không hoạt động</t>
        </is>
      </c>
      <c r="D110" s="8" t="inlineStr">
        <is>
          <t>3.12.2.4 d)</t>
        </is>
      </c>
      <c r="E110" s="8" t="inlineStr">
        <is>
          <t>4.12.2.4 d)</t>
        </is>
      </c>
      <c r="F110" s="8" t="inlineStr">
        <is>
          <t>C1+C2</t>
        </is>
      </c>
      <c r="G110" s="8" t="inlineStr">
        <is>
          <t>Cấu hình timeout</t>
        </is>
      </c>
      <c r="H110" s="13">
        <f>IF('Hướng dẫn'!$B$5=1,IF(LEFT(F110,6)="chỉ C2","Không","Có"),IF(LEFT(F110,6)="chỉ C1","Khuyến nghị","Có"))</f>
        <v/>
      </c>
      <c r="I110" s="12" t="n"/>
      <c r="J110" s="12" t="n"/>
      <c r="K110" s="12" t="n"/>
      <c r="L110" s="12" t="n"/>
    </row>
    <row r="111">
      <c r="A111" s="8" t="inlineStr">
        <is>
          <t>C12-12-22</t>
        </is>
      </c>
      <c r="B111" s="8" t="inlineStr">
        <is>
          <t>12. Hạ tầng mạng</t>
        </is>
      </c>
      <c r="C111" s="8" t="inlineStr">
        <is>
          <t>Truy cập từ xa của quản trị viên, người dùng tác nghiệp qua VPN (hoặc tương đương) có xác thực</t>
        </is>
      </c>
      <c r="D111" s="8" t="inlineStr">
        <is>
          <t>3.12.2.5</t>
        </is>
      </c>
      <c r="E111" s="8" t="inlineStr">
        <is>
          <t>4.12.2.5</t>
        </is>
      </c>
      <c r="F111" s="8" t="inlineStr">
        <is>
          <t>C1+C2</t>
        </is>
      </c>
      <c r="G111" s="8" t="inlineStr">
        <is>
          <t>Cấu hình VPN/ZTNA</t>
        </is>
      </c>
      <c r="H111" s="13">
        <f>IF('Hướng dẫn'!$B$5=1,IF(LEFT(F111,6)="chỉ C2","Không","Có"),IF(LEFT(F111,6)="chỉ C1","Khuyến nghị","Có"))</f>
        <v/>
      </c>
      <c r="I111" s="12" t="n"/>
      <c r="J111" s="12" t="n"/>
      <c r="K111" s="12" t="n"/>
      <c r="L111" s="12" t="n"/>
    </row>
    <row r="112">
      <c r="A112" s="8" t="inlineStr">
        <is>
          <t>C12-12-23</t>
        </is>
      </c>
      <c r="B112" s="8" t="inlineStr">
        <is>
          <t>12. Hạ tầng mạng</t>
        </is>
      </c>
      <c r="C112" s="8" t="inlineStr">
        <is>
          <t>Xác thực khi kết nối từ xa và xác thực bổ sung trước khi vào hệ thống</t>
        </is>
      </c>
      <c r="D112" s="8" t="inlineStr">
        <is>
          <t>—</t>
        </is>
      </c>
      <c r="E112" s="8" t="inlineStr">
        <is>
          <t>4.12.2.5</t>
        </is>
      </c>
      <c r="F112" s="8" t="inlineStr">
        <is>
          <t>chỉ C2</t>
        </is>
      </c>
      <c r="G112" s="8" t="inlineStr">
        <is>
          <t>Cấu hình MFA VPN</t>
        </is>
      </c>
      <c r="H112" s="13">
        <f>IF('Hướng dẫn'!$B$5=1,IF(LEFT(F112,6)="chỉ C2","Không","Có"),IF(LEFT(F112,6)="chỉ C1","Khuyến nghị","Có"))</f>
        <v/>
      </c>
      <c r="I112" s="12" t="n"/>
      <c r="J112" s="12" t="n"/>
      <c r="K112" s="12" t="n"/>
      <c r="L112" s="12" t="n"/>
    </row>
    <row r="113">
      <c r="A113" s="8" t="inlineStr">
        <is>
          <t>C12-12-24</t>
        </is>
      </c>
      <c r="B113" s="8" t="inlineStr">
        <is>
          <t>12. Hạ tầng mạng</t>
        </is>
      </c>
      <c r="C113" s="8" t="inlineStr">
        <is>
          <t>Thiết bị truy cập từ xa phải có chống mã độc và cấu hình theo chính sách của tổ chức</t>
        </is>
      </c>
      <c r="D113" s="8" t="inlineStr">
        <is>
          <t>—</t>
        </is>
      </c>
      <c r="E113" s="8" t="inlineStr">
        <is>
          <t>4.12.2.5</t>
        </is>
      </c>
      <c r="F113" s="8" t="inlineStr">
        <is>
          <t>chỉ C2</t>
        </is>
      </c>
      <c r="G113" s="8" t="inlineStr">
        <is>
          <t>Chính sách posture check</t>
        </is>
      </c>
      <c r="H113" s="13">
        <f>IF('Hướng dẫn'!$B$5=1,IF(LEFT(F113,6)="chỉ C2","Không","Có"),IF(LEFT(F113,6)="chỉ C1","Khuyến nghị","Có"))</f>
        <v/>
      </c>
      <c r="I113" s="12" t="n"/>
      <c r="J113" s="12" t="n"/>
      <c r="K113" s="12" t="n"/>
      <c r="L113" s="12" t="n"/>
    </row>
    <row r="114">
      <c r="A114" s="8" t="inlineStr">
        <is>
          <t>C12-12-25</t>
        </is>
      </c>
      <c r="B114" s="8" t="inlineStr">
        <is>
          <t>12. Hạ tầng mạng</t>
        </is>
      </c>
      <c r="C114" s="8" t="inlineStr">
        <is>
          <t>Chỉ cho phép một số địa chỉ được quản trị thiết bị từ xa (nếu hỗ trợ)</t>
        </is>
      </c>
      <c r="D114" s="8" t="inlineStr">
        <is>
          <t>—</t>
        </is>
      </c>
      <c r="E114" s="8" t="inlineStr">
        <is>
          <t>4.12.2.5</t>
        </is>
      </c>
      <c r="F114" s="8" t="inlineStr">
        <is>
          <t>chỉ C2</t>
        </is>
      </c>
      <c r="G114" s="8" t="inlineStr">
        <is>
          <t>ACL quản trị</t>
        </is>
      </c>
      <c r="H114" s="13">
        <f>IF('Hướng dẫn'!$B$5=1,IF(LEFT(F114,6)="chỉ C2","Không","Có"),IF(LEFT(F114,6)="chỉ C1","Khuyến nghị","Có"))</f>
        <v/>
      </c>
      <c r="I114" s="12" t="n"/>
      <c r="J114" s="12" t="n"/>
      <c r="K114" s="12" t="n"/>
      <c r="L114" s="12" t="n"/>
    </row>
    <row r="115">
      <c r="A115" s="8" t="inlineStr">
        <is>
          <t>C12-13-01</t>
        </is>
      </c>
      <c r="B115" s="8" t="inlineStr">
        <is>
          <t>13. Nhân sự</t>
        </is>
      </c>
      <c r="C115" s="8" t="inlineStr">
        <is>
          <t>Các bộ phận vận hành, quản trị, bảo vệ ANM độc lập về chuyên môn</t>
        </is>
      </c>
      <c r="D115" s="8" t="inlineStr">
        <is>
          <t>—</t>
        </is>
      </c>
      <c r="E115" s="8" t="inlineStr">
        <is>
          <t>4.13.1 a)</t>
        </is>
      </c>
      <c r="F115" s="8" t="inlineStr">
        <is>
          <t>chỉ C2</t>
        </is>
      </c>
      <c r="G115" s="8" t="inlineStr">
        <is>
          <t>Quy chế phân định nhiệm vụ</t>
        </is>
      </c>
      <c r="H115" s="13">
        <f>IF('Hướng dẫn'!$B$5=1,IF(LEFT(F115,6)="chỉ C2","Không","Có"),IF(LEFT(F115,6)="chỉ C1","Khuyến nghị","Có"))</f>
        <v/>
      </c>
      <c r="I115" s="12" t="n"/>
      <c r="J115" s="12" t="n"/>
      <c r="K115" s="12" t="n"/>
      <c r="L115" s="12" t="n"/>
    </row>
    <row r="116">
      <c r="A116" s="8" t="inlineStr">
        <is>
          <t>C12-13-02</t>
        </is>
      </c>
      <c r="B116" s="8" t="inlineStr">
        <is>
          <t>13. Nhân sự</t>
        </is>
      </c>
      <c r="C116" s="8" t="inlineStr">
        <is>
          <t>Có người phụ trách vận hành, quản trị và bảo vệ ANM (C1: nhân sự; C2: bộ phận phụ trách, có nhân sự cụ thể)</t>
        </is>
      </c>
      <c r="D116" s="8" t="inlineStr">
        <is>
          <t>3.13.2.1 a)</t>
        </is>
      </c>
      <c r="E116" s="8" t="inlineStr">
        <is>
          <t>4.13.2.1 a)</t>
        </is>
      </c>
      <c r="F116" s="8" t="inlineStr">
        <is>
          <t>C1+C2</t>
        </is>
      </c>
      <c r="G116" s="8" t="inlineStr">
        <is>
          <t>Quyết định phân công (C1); quyết định giao nhiệm vụ cho bộ phận (C2)</t>
        </is>
      </c>
      <c r="H116" s="13">
        <f>IF('Hướng dẫn'!$B$5=1,IF(LEFT(F116,6)="chỉ C2","Không","Có"),IF(LEFT(F116,6)="chỉ C1","Khuyến nghị","Có"))</f>
        <v/>
      </c>
      <c r="I116" s="12" t="n"/>
      <c r="J116" s="12" t="n"/>
      <c r="K116" s="12" t="n"/>
      <c r="L116" s="12" t="n"/>
    </row>
    <row r="117">
      <c r="A117" s="8" t="inlineStr">
        <is>
          <t>C12-13-03</t>
        </is>
      </c>
      <c r="B117" s="8" t="inlineStr">
        <is>
          <t>13. Nhân sự</t>
        </is>
      </c>
      <c r="C117" s="8" t="inlineStr">
        <is>
          <t>Nhân sự có trình độ ANM/CNTT; ký cam kết bảo mật trong và sau khi nghỉ việc</t>
        </is>
      </c>
      <c r="D117" s="8" t="inlineStr">
        <is>
          <t>3.13.2.1 b)</t>
        </is>
      </c>
      <c r="E117" s="8" t="inlineStr">
        <is>
          <t>4.13.2.1 b)</t>
        </is>
      </c>
      <c r="F117" s="8" t="inlineStr">
        <is>
          <t>C1+C2</t>
        </is>
      </c>
      <c r="G117" s="8" t="inlineStr">
        <is>
          <t>Hồ sơ năng lực, cam kết bảo mật</t>
        </is>
      </c>
      <c r="H117" s="13">
        <f>IF('Hướng dẫn'!$B$5=1,IF(LEFT(F117,6)="chỉ C2","Không","Có"),IF(LEFT(F117,6)="chỉ C1","Khuyến nghị","Có"))</f>
        <v/>
      </c>
      <c r="I117" s="12" t="n"/>
      <c r="J117" s="12" t="n"/>
      <c r="K117" s="12" t="n"/>
      <c r="L117" s="12" t="n"/>
    </row>
    <row r="118">
      <c r="A118" s="8" t="inlineStr">
        <is>
          <t>C12-13-04</t>
        </is>
      </c>
      <c r="B118" s="8" t="inlineStr">
        <is>
          <t>13. Nhân sự</t>
        </is>
      </c>
      <c r="C118" s="8" t="inlineStr">
        <is>
          <t>Chương trình nâng cao nhận thức ANM cho mọi người dùng HTTT</t>
        </is>
      </c>
      <c r="D118" s="8" t="inlineStr">
        <is>
          <t>3.13.2.2 a)</t>
        </is>
      </c>
      <c r="E118" s="8" t="inlineStr">
        <is>
          <t>4.13.2.2 a)</t>
        </is>
      </c>
      <c r="F118" s="8" t="inlineStr">
        <is>
          <t>C1+C2</t>
        </is>
      </c>
      <c r="G118" s="8" t="inlineStr">
        <is>
          <t>Tài liệu, danh sách tham dự</t>
        </is>
      </c>
      <c r="H118" s="13">
        <f>IF('Hướng dẫn'!$B$5=1,IF(LEFT(F118,6)="chỉ C2","Không","Có"),IF(LEFT(F118,6)="chỉ C1","Khuyến nghị","Có"))</f>
        <v/>
      </c>
      <c r="I118" s="12" t="n"/>
      <c r="J118" s="12" t="n"/>
      <c r="K118" s="12" t="n"/>
      <c r="L118" s="12" t="n"/>
    </row>
    <row r="119">
      <c r="A119" s="8" t="inlineStr">
        <is>
          <t>C12-13-05</t>
        </is>
      </c>
      <c r="B119" s="8" t="inlineStr">
        <is>
          <t>13. Nhân sự</t>
        </is>
      </c>
      <c r="C119" s="8" t="inlineStr">
        <is>
          <t>Đào tạo nhận thức ≥ 1 lần/năm</t>
        </is>
      </c>
      <c r="D119" s="8" t="inlineStr">
        <is>
          <t>3.13.2.2 b)</t>
        </is>
      </c>
      <c r="E119" s="8" t="inlineStr">
        <is>
          <t>4.13.2.2 b)</t>
        </is>
      </c>
      <c r="F119" s="8" t="inlineStr">
        <is>
          <t>C1+C2</t>
        </is>
      </c>
      <c r="G119" s="8" t="inlineStr">
        <is>
          <t>Danh sách, bài kiểm tra</t>
        </is>
      </c>
      <c r="H119" s="13">
        <f>IF('Hướng dẫn'!$B$5=1,IF(LEFT(F119,6)="chỉ C2","Không","Có"),IF(LEFT(F119,6)="chỉ C1","Khuyến nghị","Có"))</f>
        <v/>
      </c>
      <c r="I119" s="12" t="n"/>
      <c r="J119" s="12" t="n"/>
      <c r="K119" s="12" t="n"/>
      <c r="L119" s="12" t="n"/>
    </row>
    <row r="120">
      <c r="A120" s="8" t="inlineStr">
        <is>
          <t>C12-13-06</t>
        </is>
      </c>
      <c r="B120" s="8" t="inlineStr">
        <is>
          <t>13. Nhân sự</t>
        </is>
      </c>
      <c r="C120" s="8" t="inlineStr">
        <is>
          <t>Thu hồi thẻ, dữ liệu, thiết bị, tài sản khi nghỉ hoặc chuyển việc</t>
        </is>
      </c>
      <c r="D120" s="8" t="inlineStr">
        <is>
          <t>3.13.2.2 c)</t>
        </is>
      </c>
      <c r="E120" s="8" t="inlineStr">
        <is>
          <t>4.13.2.2 c)</t>
        </is>
      </c>
      <c r="F120" s="8" t="inlineStr">
        <is>
          <t>C1+C2</t>
        </is>
      </c>
      <c r="G120" s="8" t="inlineStr">
        <is>
          <t>Biên bản bàn giao</t>
        </is>
      </c>
      <c r="H120" s="13">
        <f>IF('Hướng dẫn'!$B$5=1,IF(LEFT(F120,6)="chỉ C2","Không","Có"),IF(LEFT(F120,6)="chỉ C1","Khuyến nghị","Có"))</f>
        <v/>
      </c>
      <c r="I120" s="12" t="n"/>
      <c r="J120" s="12" t="n"/>
      <c r="K120" s="12" t="n"/>
      <c r="L120" s="12" t="n"/>
    </row>
    <row r="121">
      <c r="A121" s="8" t="inlineStr">
        <is>
          <t>C12-13-07</t>
        </is>
      </c>
      <c r="B121" s="8" t="inlineStr">
        <is>
          <t>13. Nhân sự</t>
        </is>
      </c>
      <c r="C121" s="8" t="inlineStr">
        <is>
          <t>Quy trình vô hiệu hóa mọi quyền ra vào, truy cập, quản trị khi thôi việc</t>
        </is>
      </c>
      <c r="D121" s="8" t="inlineStr">
        <is>
          <t>—</t>
        </is>
      </c>
      <c r="E121" s="8" t="inlineStr">
        <is>
          <t>4.13.2.2 d)</t>
        </is>
      </c>
      <c r="F121" s="8" t="inlineStr">
        <is>
          <t>chỉ C2</t>
        </is>
      </c>
      <c r="G121" s="8" t="inlineStr">
        <is>
          <t>Quy trình offboarding, log vô hiệu</t>
        </is>
      </c>
      <c r="H121" s="13">
        <f>IF('Hướng dẫn'!$B$5=1,IF(LEFT(F121,6)="chỉ C2","Không","Có"),IF(LEFT(F121,6)="chỉ C1","Khuyến nghị","Có"))</f>
        <v/>
      </c>
      <c r="I121" s="12" t="n"/>
      <c r="J121" s="12" t="n"/>
      <c r="K121" s="12" t="n"/>
      <c r="L121" s="12" t="n"/>
    </row>
    <row r="122">
      <c r="A122" s="8" t="inlineStr">
        <is>
          <t>C12-14-01</t>
        </is>
      </c>
      <c r="B122" s="8" t="inlineStr">
        <is>
          <t>14. Nhà cung cấp</t>
        </is>
      </c>
      <c r="C122" s="8" t="inlineStr">
        <is>
          <t>Quy trình đánh giá nhà cung cấp dịch vụ ANM, lưu trữ/xử lý dữ liệu nhạy cảm, nền tảng quan trọng</t>
        </is>
      </c>
      <c r="D122" s="8" t="inlineStr">
        <is>
          <t>3.14.1</t>
        </is>
      </c>
      <c r="E122" s="8" t="inlineStr">
        <is>
          <t>4.14.1</t>
        </is>
      </c>
      <c r="F122" s="8" t="inlineStr">
        <is>
          <t>C1+C2</t>
        </is>
      </c>
      <c r="G122" s="8" t="inlineStr">
        <is>
          <t>Quy trình đánh giá NCC</t>
        </is>
      </c>
      <c r="H122" s="13">
        <f>IF('Hướng dẫn'!$B$5=1,IF(LEFT(F122,6)="chỉ C2","Không","Có"),IF(LEFT(F122,6)="chỉ C1","Khuyến nghị","Có"))</f>
        <v/>
      </c>
      <c r="I122" s="12" t="n"/>
      <c r="J122" s="12" t="n"/>
      <c r="K122" s="12" t="n"/>
      <c r="L122" s="12" t="n"/>
    </row>
    <row r="123">
      <c r="A123" s="8" t="inlineStr">
        <is>
          <t>C12-14-02</t>
        </is>
      </c>
      <c r="B123" s="8" t="inlineStr">
        <is>
          <t>14. Nhà cung cấp</t>
        </is>
      </c>
      <c r="C123" s="8" t="inlineStr">
        <is>
          <t>Danh sách nhà cung cấp, theo dõi trạng thái</t>
        </is>
      </c>
      <c r="D123" s="8" t="inlineStr">
        <is>
          <t>3.14.2</t>
        </is>
      </c>
      <c r="E123" s="8" t="inlineStr">
        <is>
          <t>4.14.2</t>
        </is>
      </c>
      <c r="F123" s="8" t="inlineStr">
        <is>
          <t>C1+C2</t>
        </is>
      </c>
      <c r="G123" s="8" t="inlineStr">
        <is>
          <t>Danh sách NCC</t>
        </is>
      </c>
      <c r="H123" s="13">
        <f>IF('Hướng dẫn'!$B$5=1,IF(LEFT(F123,6)="chỉ C2","Không","Có"),IF(LEFT(F123,6)="chỉ C1","Khuyến nghị","Có"))</f>
        <v/>
      </c>
      <c r="I123" s="12" t="n"/>
      <c r="J123" s="12" t="n"/>
      <c r="K123" s="12" t="n"/>
      <c r="L123" s="12" t="n"/>
    </row>
    <row r="124">
      <c r="A124" s="8" t="inlineStr">
        <is>
          <t>C12-14-03</t>
        </is>
      </c>
      <c r="B124" s="8" t="inlineStr">
        <is>
          <t>14. Nhà cung cấp</t>
        </is>
      </c>
      <c r="C124" s="8" t="inlineStr">
        <is>
          <t>Phân loại nhà cung cấp</t>
        </is>
      </c>
      <c r="D124" s="8" t="inlineStr">
        <is>
          <t>3.14.2</t>
        </is>
      </c>
      <c r="E124" s="8" t="inlineStr">
        <is>
          <t>4.14.2</t>
        </is>
      </c>
      <c r="F124" s="8" t="inlineStr">
        <is>
          <t>C1+C2</t>
        </is>
      </c>
      <c r="G124" s="8" t="inlineStr">
        <is>
          <t>Tiêu chí phân loại</t>
        </is>
      </c>
      <c r="H124" s="13">
        <f>IF('Hướng dẫn'!$B$5=1,IF(LEFT(F124,6)="chỉ C2","Không","Có"),IF(LEFT(F124,6)="chỉ C1","Khuyến nghị","Có"))</f>
        <v/>
      </c>
      <c r="I124" s="12" t="n"/>
      <c r="J124" s="12" t="n"/>
      <c r="K124" s="12" t="n"/>
      <c r="L124" s="12" t="n"/>
    </row>
    <row r="125">
      <c r="A125" s="8" t="inlineStr">
        <is>
          <t>C12-14-04</t>
        </is>
      </c>
      <c r="B125" s="8" t="inlineStr">
        <is>
          <t>14. Nhà cung cấp</t>
        </is>
      </c>
      <c r="C125" s="8" t="inlineStr">
        <is>
          <t>Văn bản phân định phạm vi trách nhiệm giữa nhà cung cấp và tổ chức</t>
        </is>
      </c>
      <c r="D125" s="8" t="inlineStr">
        <is>
          <t>3.14.2</t>
        </is>
      </c>
      <c r="E125" s="8" t="inlineStr">
        <is>
          <t>4.14.2</t>
        </is>
      </c>
      <c r="F125" s="8" t="inlineStr">
        <is>
          <t>C1+C2</t>
        </is>
      </c>
      <c r="G125" s="8" t="inlineStr">
        <is>
          <t>Hợp đồng/SLA/ma trận RACI</t>
        </is>
      </c>
      <c r="H125" s="13">
        <f>IF('Hướng dẫn'!$B$5=1,IF(LEFT(F125,6)="chỉ C2","Không","Có"),IF(LEFT(F125,6)="chỉ C1","Khuyến nghị","Có"))</f>
        <v/>
      </c>
      <c r="I125" s="12" t="n"/>
      <c r="J125" s="12" t="n"/>
      <c r="K125" s="12" t="n"/>
      <c r="L125" s="12" t="n"/>
    </row>
    <row r="126">
      <c r="A126" s="8" t="inlineStr">
        <is>
          <t>C12-14-05</t>
        </is>
      </c>
      <c r="B126" s="8" t="inlineStr">
        <is>
          <t>14. Nhà cung cấp</t>
        </is>
      </c>
      <c r="C126" s="8" t="inlineStr">
        <is>
          <t>Cập nhật danh sách nhà cung cấp ≥ 1 lần/năm hoặc khi thay đổi</t>
        </is>
      </c>
      <c r="D126" s="8" t="inlineStr">
        <is>
          <t>3.14.2</t>
        </is>
      </c>
      <c r="E126" s="8" t="inlineStr">
        <is>
          <t>4.14.2</t>
        </is>
      </c>
      <c r="F126" s="8" t="inlineStr">
        <is>
          <t>C1+C2</t>
        </is>
      </c>
      <c r="G126" s="8" t="inlineStr">
        <is>
          <t>Ngày cập nhật</t>
        </is>
      </c>
      <c r="H126" s="13">
        <f>IF('Hướng dẫn'!$B$5=1,IF(LEFT(F126,6)="chỉ C2","Không","Có"),IF(LEFT(F126,6)="chỉ C1","Khuyến nghị","Có"))</f>
        <v/>
      </c>
      <c r="I126" s="12" t="n"/>
      <c r="J126" s="12" t="n"/>
      <c r="K126" s="12" t="n"/>
      <c r="L126" s="12" t="n"/>
    </row>
    <row r="127">
      <c r="A127" s="8" t="inlineStr">
        <is>
          <t>C12-15-01</t>
        </is>
      </c>
      <c r="B127" s="8" t="inlineStr">
        <is>
          <t>15. Ứng phó sự cố</t>
        </is>
      </c>
      <c r="C127" s="8" t="inlineStr">
        <is>
          <t>Chính sách/quy trình sự cố gồm: phân nhóm; tiếp nhận–phân loại–xử lý ban đầu; kế hoạch ứng phó; giám sát cảnh báo; quy trình sự cố thường và nghiêm trọng; cơ chế phối hợp</t>
        </is>
      </c>
      <c r="D127" s="8" t="inlineStr">
        <is>
          <t>—</t>
        </is>
      </c>
      <c r="E127" s="8" t="inlineStr">
        <is>
          <t>4.15.1</t>
        </is>
      </c>
      <c r="F127" s="8" t="inlineStr">
        <is>
          <t>chỉ C2</t>
        </is>
      </c>
      <c r="G127" s="8" t="inlineStr">
        <is>
          <t>Kế hoạch/quy trình ứng phó sự cố</t>
        </is>
      </c>
      <c r="H127" s="13">
        <f>IF('Hướng dẫn'!$B$5=1,IF(LEFT(F127,6)="chỉ C2","Không","Có"),IF(LEFT(F127,6)="chỉ C1","Khuyến nghị","Có"))</f>
        <v/>
      </c>
      <c r="I127" s="12" t="n"/>
      <c r="J127" s="12" t="n"/>
      <c r="K127" s="12" t="n"/>
      <c r="L127" s="12" t="n"/>
    </row>
    <row r="128">
      <c r="A128" s="8" t="inlineStr">
        <is>
          <t>C12-15-02</t>
        </is>
      </c>
      <c r="B128" s="8" t="inlineStr">
        <is>
          <t>15. Ứng phó sự cố</t>
        </is>
      </c>
      <c r="C128" s="8" t="inlineStr">
        <is>
          <t>Chỉ định người chủ chốt và ít nhất một người dự phòng quản lý ứng phó sự cố</t>
        </is>
      </c>
      <c r="D128" s="8" t="inlineStr">
        <is>
          <t>3.15.2.1 a)</t>
        </is>
      </c>
      <c r="E128" s="8" t="inlineStr">
        <is>
          <t>4.15.2.1 a)</t>
        </is>
      </c>
      <c r="F128" s="8" t="inlineStr">
        <is>
          <t>C1+C2</t>
        </is>
      </c>
      <c r="G128" s="8" t="inlineStr">
        <is>
          <t>Quyết định phân công</t>
        </is>
      </c>
      <c r="H128" s="13">
        <f>IF('Hướng dẫn'!$B$5=1,IF(LEFT(F128,6)="chỉ C2","Không","Có"),IF(LEFT(F128,6)="chỉ C1","Khuyến nghị","Có"))</f>
        <v/>
      </c>
      <c r="I128" s="12" t="n"/>
      <c r="J128" s="12" t="n"/>
      <c r="K128" s="12" t="n"/>
      <c r="L128" s="12" t="n"/>
    </row>
    <row r="129">
      <c r="A129" s="8" t="inlineStr">
        <is>
          <t>C12-15-03</t>
        </is>
      </c>
      <c r="B129" s="8" t="inlineStr">
        <is>
          <t>15. Ứng phó sự cố</t>
        </is>
      </c>
      <c r="C129" s="8" t="inlineStr">
        <is>
          <t>Đầu mối phối hợp với cơ quan quản lý nhà nước về ANM và cơ quan điều hành Liên minh ứng phó sự cố quốc gia</t>
        </is>
      </c>
      <c r="D129" s="8" t="inlineStr">
        <is>
          <t>—</t>
        </is>
      </c>
      <c r="E129" s="8" t="inlineStr">
        <is>
          <t>4.15.2.1 b)</t>
        </is>
      </c>
      <c r="F129" s="8" t="inlineStr">
        <is>
          <t>chỉ C2</t>
        </is>
      </c>
      <c r="G129" s="8" t="inlineStr">
        <is>
          <t>Danh bạ đầu mối, văn bản đăng ký</t>
        </is>
      </c>
      <c r="H129" s="13">
        <f>IF('Hướng dẫn'!$B$5=1,IF(LEFT(F129,6)="chỉ C2","Không","Có"),IF(LEFT(F129,6)="chỉ C1","Khuyến nghị","Có"))</f>
        <v/>
      </c>
      <c r="I129" s="12" t="n"/>
      <c r="J129" s="12" t="n"/>
      <c r="K129" s="12" t="n"/>
      <c r="L129" s="12" t="n"/>
    </row>
    <row r="130">
      <c r="A130" s="8" t="inlineStr">
        <is>
          <t>C12-15-04</t>
        </is>
      </c>
      <c r="B130" s="8" t="inlineStr">
        <is>
          <t>15. Ứng phó sự cố</t>
        </is>
      </c>
      <c r="C130" s="8" t="inlineStr">
        <is>
          <t>Đầu mối tiếp nhận báo cáo sự cố; xác minh thông tin liên hệ hằng năm</t>
        </is>
      </c>
      <c r="D130" s="8" t="inlineStr">
        <is>
          <t>3.15.2.1 b)</t>
        </is>
      </c>
      <c r="E130" s="8" t="inlineStr">
        <is>
          <t>4.15.2.1 c)</t>
        </is>
      </c>
      <c r="F130" s="8" t="inlineStr">
        <is>
          <t>C1+C2</t>
        </is>
      </c>
      <c r="G130" s="8" t="inlineStr">
        <is>
          <t>Danh bạ có ngày xác minh</t>
        </is>
      </c>
      <c r="H130" s="13">
        <f>IF('Hướng dẫn'!$B$5=1,IF(LEFT(F130,6)="chỉ C2","Không","Có"),IF(LEFT(F130,6)="chỉ C1","Khuyến nghị","Có"))</f>
        <v/>
      </c>
      <c r="I130" s="12" t="n"/>
      <c r="J130" s="12" t="n"/>
      <c r="K130" s="12" t="n"/>
      <c r="L130" s="12" t="n"/>
    </row>
    <row r="131">
      <c r="A131" s="8" t="inlineStr">
        <is>
          <t>C12-15-05</t>
        </is>
      </c>
      <c r="B131" s="8" t="inlineStr">
        <is>
          <t>15. Ứng phó sự cố</t>
        </is>
      </c>
      <c r="C131" s="8" t="inlineStr">
        <is>
          <t>Phân công vai trò, trách nhiệm từng thành viên đội ứng phó</t>
        </is>
      </c>
      <c r="D131" s="8" t="inlineStr">
        <is>
          <t>3.15.2.1 c)</t>
        </is>
      </c>
      <c r="E131" s="8" t="inlineStr">
        <is>
          <t>4.15.2.1 d)</t>
        </is>
      </c>
      <c r="F131" s="8" t="inlineStr">
        <is>
          <t>C1+C2</t>
        </is>
      </c>
      <c r="G131" s="8" t="inlineStr">
        <is>
          <t>Bảng RACI đội ứng phó</t>
        </is>
      </c>
      <c r="H131" s="13">
        <f>IF('Hướng dẫn'!$B$5=1,IF(LEFT(F131,6)="chỉ C2","Không","Có"),IF(LEFT(F131,6)="chỉ C1","Khuyến nghị","Có"))</f>
        <v/>
      </c>
      <c r="I131" s="12" t="n"/>
      <c r="J131" s="12" t="n"/>
      <c r="K131" s="12" t="n"/>
      <c r="L131" s="12" t="n"/>
    </row>
    <row r="132">
      <c r="A132" s="8" t="inlineStr">
        <is>
          <t>C12-15-06</t>
        </is>
      </c>
      <c r="B132" s="8" t="inlineStr">
        <is>
          <t>15. Ứng phó sự cố</t>
        </is>
      </c>
      <c r="C132" s="8" t="inlineStr">
        <is>
          <t>Quy định trách nhiệm phối hợp của các phòng ban với đội ứng phó</t>
        </is>
      </c>
      <c r="D132" s="8" t="inlineStr">
        <is>
          <t>3.15.2.1 d)</t>
        </is>
      </c>
      <c r="E132" s="8" t="inlineStr">
        <is>
          <t>4.15.2.1 e)</t>
        </is>
      </c>
      <c r="F132" s="8" t="inlineStr">
        <is>
          <t>C1+C2</t>
        </is>
      </c>
      <c r="G132" s="8" t="inlineStr">
        <is>
          <t>Quy chế phối hợp</t>
        </is>
      </c>
      <c r="H132" s="13">
        <f>IF('Hướng dẫn'!$B$5=1,IF(LEFT(F132,6)="chỉ C2","Không","Có"),IF(LEFT(F132,6)="chỉ C1","Khuyến nghị","Có"))</f>
        <v/>
      </c>
      <c r="I132" s="12" t="n"/>
      <c r="J132" s="12" t="n"/>
      <c r="K132" s="12" t="n"/>
      <c r="L132" s="12" t="n"/>
    </row>
    <row r="133">
      <c r="A133" s="8" t="inlineStr">
        <is>
          <t>C12-15-07</t>
        </is>
      </c>
      <c r="B133" s="8" t="inlineStr">
        <is>
          <t>15. Ứng phó sự cố</t>
        </is>
      </c>
      <c r="C133" s="8" t="inlineStr">
        <is>
          <t>Quy trình báo cáo sự cố nội bộ</t>
        </is>
      </c>
      <c r="D133" s="8" t="inlineStr">
        <is>
          <t>3.15.2.2 a)</t>
        </is>
      </c>
      <c r="E133" s="8" t="inlineStr">
        <is>
          <t>4.15.2.2 a)</t>
        </is>
      </c>
      <c r="F133" s="8" t="inlineStr">
        <is>
          <t>C1+C2</t>
        </is>
      </c>
      <c r="G133" s="8" t="inlineStr">
        <is>
          <t>Quy trình, mẫu báo cáo</t>
        </is>
      </c>
      <c r="H133" s="13">
        <f>IF('Hướng dẫn'!$B$5=1,IF(LEFT(F133,6)="chỉ C2","Không","Có"),IF(LEFT(F133,6)="chỉ C1","Khuyến nghị","Có"))</f>
        <v/>
      </c>
      <c r="I133" s="12" t="n"/>
      <c r="J133" s="12" t="n"/>
      <c r="K133" s="12" t="n"/>
      <c r="L133" s="12" t="n"/>
    </row>
    <row r="134">
      <c r="A134" s="8" t="inlineStr">
        <is>
          <t>C12-15-08</t>
        </is>
      </c>
      <c r="B134" s="8" t="inlineStr">
        <is>
          <t>15. Ứng phó sự cố</t>
        </is>
      </c>
      <c r="C134" s="8" t="inlineStr">
        <is>
          <t>Phân nhóm sự cố ANM</t>
        </is>
      </c>
      <c r="D134" s="8" t="inlineStr">
        <is>
          <t>3.15.2.2 b)</t>
        </is>
      </c>
      <c r="E134" s="8" t="inlineStr">
        <is>
          <t>4.15.2.2 b)</t>
        </is>
      </c>
      <c r="F134" s="8" t="inlineStr">
        <is>
          <t>C1+C2</t>
        </is>
      </c>
      <c r="G134" s="8" t="inlineStr">
        <is>
          <t>Bảng phân loại sự cố</t>
        </is>
      </c>
      <c r="H134" s="13">
        <f>IF('Hướng dẫn'!$B$5=1,IF(LEFT(F134,6)="chỉ C2","Không","Có"),IF(LEFT(F134,6)="chỉ C1","Khuyến nghị","Có"))</f>
        <v/>
      </c>
      <c r="I134" s="12" t="n"/>
      <c r="J134" s="12" t="n"/>
      <c r="K134" s="12" t="n"/>
      <c r="L134" s="12" t="n"/>
    </row>
    <row r="135">
      <c r="A135" s="8" t="inlineStr">
        <is>
          <t>C12-15-09</t>
        </is>
      </c>
      <c r="B135" s="8" t="inlineStr">
        <is>
          <t>15. Ứng phó sự cố</t>
        </is>
      </c>
      <c r="C135" s="8" t="inlineStr">
        <is>
          <t>Cập nhật quy trình báo cáo ≥ 1 lần/năm hoặc khi thay đổi</t>
        </is>
      </c>
      <c r="D135" s="8" t="inlineStr">
        <is>
          <t>3.15.2.2 c)</t>
        </is>
      </c>
      <c r="E135" s="8" t="inlineStr">
        <is>
          <t>4.15.2.2 c)</t>
        </is>
      </c>
      <c r="F135" s="8" t="inlineStr">
        <is>
          <t>C1+C2</t>
        </is>
      </c>
      <c r="G135" s="8" t="inlineStr">
        <is>
          <t>Lịch sử phiên bản</t>
        </is>
      </c>
      <c r="H135" s="13">
        <f>IF('Hướng dẫn'!$B$5=1,IF(LEFT(F135,6)="chỉ C2","Không","Có"),IF(LEFT(F135,6)="chỉ C1","Khuyến nghị","Có"))</f>
        <v/>
      </c>
      <c r="I135" s="12" t="n"/>
      <c r="J135" s="12" t="n"/>
      <c r="K135" s="12" t="n"/>
      <c r="L135" s="12" t="n"/>
    </row>
    <row r="136">
      <c r="A136" s="8" t="inlineStr">
        <is>
          <t>C12-15-10</t>
        </is>
      </c>
      <c r="B136" s="8" t="inlineStr">
        <is>
          <t>15. Ứng phó sự cố</t>
        </is>
      </c>
      <c r="C136" s="8" t="inlineStr">
        <is>
          <t>Quy trình ứng phó có cơ chế phối hợp với cơ quan chức năng, chuyên gia, nhà cung cấp dịch vụ</t>
        </is>
      </c>
      <c r="D136" s="8" t="inlineStr">
        <is>
          <t>3.15.2.3 a)</t>
        </is>
      </c>
      <c r="E136" s="8" t="inlineStr">
        <is>
          <t>4.15.2.3 a)</t>
        </is>
      </c>
      <c r="F136" s="8" t="inlineStr">
        <is>
          <t>C1+C2</t>
        </is>
      </c>
      <c r="G136" s="8" t="inlineStr">
        <is>
          <t>Quy trình ứng phó</t>
        </is>
      </c>
      <c r="H136" s="13">
        <f>IF('Hướng dẫn'!$B$5=1,IF(LEFT(F136,6)="chỉ C2","Không","Có"),IF(LEFT(F136,6)="chỉ C1","Khuyến nghị","Có"))</f>
        <v/>
      </c>
      <c r="I136" s="12" t="n"/>
      <c r="J136" s="12" t="n"/>
      <c r="K136" s="12" t="n"/>
      <c r="L136" s="12" t="n"/>
    </row>
    <row r="137">
      <c r="A137" s="8" t="inlineStr">
        <is>
          <t>C12-15-11</t>
        </is>
      </c>
      <c r="B137" s="8" t="inlineStr">
        <is>
          <t>15. Ứng phó sự cố</t>
        </is>
      </c>
      <c r="C137" s="8" t="inlineStr">
        <is>
          <t>Cập nhật quy trình ứng phó ≥ 1 lần/năm hoặc khi thay đổi</t>
        </is>
      </c>
      <c r="D137" s="8" t="inlineStr">
        <is>
          <t>3.15.2.3 b)</t>
        </is>
      </c>
      <c r="E137" s="8" t="inlineStr">
        <is>
          <t>4.15.2.3 b)</t>
        </is>
      </c>
      <c r="F137" s="8" t="inlineStr">
        <is>
          <t>C1+C2</t>
        </is>
      </c>
      <c r="G137" s="8" t="inlineStr">
        <is>
          <t>Lịch sử phiên bản</t>
        </is>
      </c>
      <c r="H137" s="13">
        <f>IF('Hướng dẫn'!$B$5=1,IF(LEFT(F137,6)="chỉ C2","Không","Có"),IF(LEFT(F137,6)="chỉ C1","Khuyến nghị","Có"))</f>
        <v/>
      </c>
      <c r="I137" s="12" t="n"/>
      <c r="J137" s="12" t="n"/>
      <c r="K137" s="12" t="n"/>
      <c r="L137" s="12" t="n"/>
    </row>
  </sheetData>
  <autoFilter ref="A4:L137"/>
  <conditionalFormatting sqref="I5:I137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conditionalFormatting sqref="A5:L137">
    <cfRule type="expression" priority="5" dxfId="4">
      <formula>$H5="Không"</formula>
    </cfRule>
  </conditionalFormatting>
  <dataValidations count="1">
    <dataValidation sqref="I5:I137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C. LỊCH HOẠT ĐỘNG ĐỊNH KỲ</t>
        </is>
      </c>
    </row>
    <row r="2">
      <c r="A2" s="2" t="inlineStr">
        <is>
          <t>Tần suất tối thiểu theo TCVN 14423:2026 và NĐ 331; Quy chế của tổ chức có thể quy định dày hơn.</t>
        </is>
      </c>
    </row>
    <row r="4">
      <c r="A4" s="7" t="inlineStr">
        <is>
          <t>Hoạt động</t>
        </is>
      </c>
      <c r="B4" s="7" t="inlineStr">
        <is>
          <t>Tần suất cấp 1</t>
        </is>
      </c>
      <c r="C4" s="7" t="inlineStr">
        <is>
          <t>Tần suất cấp 2</t>
        </is>
      </c>
      <c r="D4" s="7" t="inlineStr">
        <is>
          <t>Căn cứ</t>
        </is>
      </c>
    </row>
    <row r="5">
      <c r="A5" s="8" t="inlineStr">
        <is>
          <t>Rà soát quy trình quản lý rủi ro; đánh giá lại rủi ro</t>
        </is>
      </c>
      <c r="B5" s="8" t="inlineStr">
        <is>
          <t>≥ 1 lần/năm; và khi thay đổi</t>
        </is>
      </c>
      <c r="C5" s="8" t="inlineStr">
        <is>
          <t>≥ 1 lần/năm; và khi thay đổi</t>
        </is>
      </c>
      <c r="D5" s="8" t="inlineStr">
        <is>
          <t>TCVN 3.1 b, 4.1 b; NĐ 331 Đ10.2</t>
        </is>
      </c>
    </row>
    <row r="6">
      <c r="A6" s="8" t="inlineStr">
        <is>
          <t>Kiểm kê, cập nhật danh mục tài sản</t>
        </is>
      </c>
      <c r="B6" s="8" t="inlineStr">
        <is>
          <t>Phần cứng, phần mềm ≥ 1 lần/năm</t>
        </is>
      </c>
      <c r="C6" s="8" t="inlineStr">
        <is>
          <t>Mọi tài sản ≥ 1 lần/năm</t>
        </is>
      </c>
      <c r="D6" s="8" t="inlineStr">
        <is>
          <t>TCVN 3.2.1 c, 3.3.1 b; 4.2.1 c, 4.3.1 b</t>
        </is>
      </c>
    </row>
    <row r="7">
      <c r="A7" s="8" t="inlineStr">
        <is>
          <t>Rà thiết bị lạ, phần mềm trái phép</t>
        </is>
      </c>
      <c r="B7" s="8" t="inlineStr">
        <is>
          <t>≥ 1 lần/năm</t>
        </is>
      </c>
      <c r="C7" s="8" t="inlineStr">
        <is>
          <t>≥ 1 lần/năm</t>
        </is>
      </c>
      <c r="D7" s="8" t="inlineStr">
        <is>
          <t>TCVN 3.2.2.2, 3.3.2.2; 4.2.2.2, 4.3.2.2</t>
        </is>
      </c>
    </row>
    <row r="8">
      <c r="A8" s="8" t="inlineStr">
        <is>
          <t>Kiểm tra phân quyền dữ liệu; cập nhật danh mục tài sản thông tin</t>
        </is>
      </c>
      <c r="B8" s="8" t="inlineStr">
        <is>
          <t>≥ 1 lần/năm</t>
        </is>
      </c>
      <c r="C8" s="8" t="inlineStr">
        <is>
          <t>≥ 1 lần/năm</t>
        </is>
      </c>
      <c r="D8" s="8" t="inlineStr">
        <is>
          <t>TCVN 3.4.2.1 c, 3.4.2.2 b; 4.4.2.1 d, 4.4.2.2 b</t>
        </is>
      </c>
    </row>
    <row r="9">
      <c r="A9" s="8" t="inlineStr">
        <is>
          <t>Rà soát danh sách tài khoản</t>
        </is>
      </c>
      <c r="B9" s="8" t="inlineStr">
        <is>
          <t>≥ 1 lần/năm</t>
        </is>
      </c>
      <c r="C9" s="8" t="inlineStr">
        <is>
          <t>≥ 1 lần/năm</t>
        </is>
      </c>
      <c r="D9" s="8" t="inlineStr">
        <is>
          <t>TCVN 3.6.2.1 d, 4.6.2.1 d</t>
        </is>
      </c>
    </row>
    <row r="10">
      <c r="A10" s="8" t="inlineStr">
        <is>
          <t>Vô hiệu hóa tài khoản không hoạt động</t>
        </is>
      </c>
      <c r="B10" s="8" t="inlineStr">
        <is>
          <t>Sau 45 ngày hoặc ngay khi đổi nhân sự</t>
        </is>
      </c>
      <c r="C10" s="8" t="inlineStr">
        <is>
          <t>Sau 45 ngày hoặc ngay khi đổi nhân sự</t>
        </is>
      </c>
      <c r="D10" s="8" t="inlineStr">
        <is>
          <t>TCVN 3.6.2.3, 4.6.2.3</t>
        </is>
      </c>
    </row>
    <row r="11">
      <c r="A11" s="8" t="inlineStr">
        <is>
          <t>Đổi mật khẩu tài khoản quản trị (gợi ý)</t>
        </is>
      </c>
      <c r="B11" s="8" t="inlineStr">
        <is>
          <t>≥ 1 lần/2 tháng</t>
        </is>
      </c>
      <c r="C11" s="8" t="inlineStr">
        <is>
          <t>≥ 1 lần/2 tháng</t>
        </is>
      </c>
      <c r="D11" s="8" t="inlineStr">
        <is>
          <t>TCVN 3.6.2.2 b, 4.6.2.2 b</t>
        </is>
      </c>
    </row>
    <row r="12">
      <c r="A12" s="8" t="inlineStr">
        <is>
          <t>Rà quét lỗ hổng; rà soát quy trình quản lý lỗ hổng</t>
        </is>
      </c>
      <c r="B12" s="8" t="inlineStr">
        <is>
          <t>≥ 1 lần/năm hoặc khi thay đổi</t>
        </is>
      </c>
      <c r="C12" s="8" t="inlineStr">
        <is>
          <t>≥ 1 lần/năm hoặc khi thay đổi</t>
        </is>
      </c>
      <c r="D12" s="8" t="inlineStr">
        <is>
          <t>TCVN 3.7.2.1 b, 4.7.2.1 b</t>
        </is>
      </c>
    </row>
    <row r="13">
      <c r="A13" s="8" t="inlineStr">
        <is>
          <t>Cập nhật bản vá máy tính, thiết bị di động của người dùng</t>
        </is>
      </c>
      <c r="B13" s="8" t="inlineStr">
        <is>
          <t>≥ 1 lần/tháng</t>
        </is>
      </c>
      <c r="C13" s="8" t="inlineStr">
        <is>
          <t>≥ 1 lần/tháng</t>
        </is>
      </c>
      <c r="D13" s="8" t="inlineStr">
        <is>
          <t>TCVN 3.7.2.2, 4.7.2.2</t>
        </is>
      </c>
    </row>
    <row r="14">
      <c r="A14" s="8" t="inlineStr">
        <is>
          <t>Rà soát nhật ký ANM</t>
        </is>
      </c>
      <c r="B14" s="8" t="inlineStr">
        <is>
          <t>≥ 1 lần/năm</t>
        </is>
      </c>
      <c r="C14" s="8" t="inlineStr">
        <is>
          <t>≥ 1 lần/năm</t>
        </is>
      </c>
      <c r="D14" s="8" t="inlineStr">
        <is>
          <t>TCVN 3.8.2.1 a, 4.8.2.1 a</t>
        </is>
      </c>
    </row>
    <row r="15">
      <c r="A15" s="8" t="inlineStr">
        <is>
          <t>Thời gian lưu nhật ký</t>
        </is>
      </c>
      <c r="B15" s="8" t="inlineStr">
        <is>
          <t>Không quy định (theo Quy chế)</t>
        </is>
      </c>
      <c r="C15" s="8" t="inlineStr">
        <is>
          <t>≥ 1 tháng; ≥ 12 tháng nếu là hệ thống cung cấp dịch vụ trên mạng thuộc diện NĐ 333 Đ16</t>
        </is>
      </c>
      <c r="D15" s="8" t="inlineStr">
        <is>
          <t>TCVN 4.8.2.1 a; NĐ 333 Đ16.6.c</t>
        </is>
      </c>
    </row>
    <row r="16">
      <c r="A16" s="8" t="inlineStr">
        <is>
          <t>Khôi phục thử bản sao lưu</t>
        </is>
      </c>
      <c r="B16" s="8" t="inlineStr">
        <is>
          <t>Định kỳ (tự đặt trong Quy chế)</t>
        </is>
      </c>
      <c r="C16" s="8" t="inlineStr">
        <is>
          <t>Định kỳ (tự đặt trong Quy chế)</t>
        </is>
      </c>
      <c r="D16" s="8" t="inlineStr">
        <is>
          <t>TCVN 3.11.2.1 a, 4.11.2.1 a</t>
        </is>
      </c>
    </row>
    <row r="17">
      <c r="A17" s="8" t="inlineStr">
        <is>
          <t>Cập nhật sơ đồ mạng</t>
        </is>
      </c>
      <c r="B17" s="8" t="inlineStr">
        <is>
          <t>1 lần/năm hoặc khi thay đổi</t>
        </is>
      </c>
      <c r="C17" s="8" t="inlineStr">
        <is>
          <t>1 lần/năm hoặc khi thay đổi</t>
        </is>
      </c>
      <c r="D17" s="8" t="inlineStr">
        <is>
          <t>TCVN 3.12.2.1 d, 4.12.2.1 e</t>
        </is>
      </c>
    </row>
    <row r="18">
      <c r="A18" s="8" t="inlineStr">
        <is>
          <t>Đào tạo nâng cao nhận thức ANM</t>
        </is>
      </c>
      <c r="B18" s="8" t="inlineStr">
        <is>
          <t>≥ 1 lần/năm</t>
        </is>
      </c>
      <c r="C18" s="8" t="inlineStr">
        <is>
          <t>≥ 1 lần/năm</t>
        </is>
      </c>
      <c r="D18" s="8" t="inlineStr">
        <is>
          <t>TCVN 3.13.2.2 b, 4.13.2.2 b; NĐ 331 Đ31.3</t>
        </is>
      </c>
    </row>
    <row r="19">
      <c r="A19" s="8" t="inlineStr">
        <is>
          <t>Tuyên truyền, phổ biến ANM</t>
        </is>
      </c>
      <c r="B19" s="8" t="inlineStr">
        <is>
          <t>Thường xuyên (không định kỳ cố định)</t>
        </is>
      </c>
      <c r="C19" s="8" t="inlineStr">
        <is>
          <t>Thường xuyên (không định kỳ cố định)</t>
        </is>
      </c>
      <c r="D19" s="8" t="inlineStr">
        <is>
          <t>NĐ 331 Đ31.3; Luật 116 Đ10.1.e</t>
        </is>
      </c>
    </row>
    <row r="20">
      <c r="A20" s="8" t="inlineStr">
        <is>
          <t>Diễn tập ANM trong tổ chức</t>
        </is>
      </c>
      <c r="B20" s="8" t="inlineStr">
        <is>
          <t>Không quy định chu kỳ (gợi ý 1 lần/năm)</t>
        </is>
      </c>
      <c r="C20" s="8" t="inlineStr">
        <is>
          <t>Không quy định chu kỳ (gợi ý 1 lần/năm)</t>
        </is>
      </c>
      <c r="D20" s="8" t="inlineStr">
        <is>
          <t>NĐ 331 Đ31.3</t>
        </is>
      </c>
    </row>
    <row r="21">
      <c r="A21" s="8" t="inlineStr">
        <is>
          <t>Cập nhật danh sách nhà cung cấp</t>
        </is>
      </c>
      <c r="B21" s="8" t="inlineStr">
        <is>
          <t>≥ 1 lần/năm hoặc khi thay đổi</t>
        </is>
      </c>
      <c r="C21" s="8" t="inlineStr">
        <is>
          <t>≥ 1 lần/năm hoặc khi thay đổi</t>
        </is>
      </c>
      <c r="D21" s="8" t="inlineStr">
        <is>
          <t>TCVN 3.14.2, 4.14.2</t>
        </is>
      </c>
    </row>
    <row r="22">
      <c r="A22" s="8" t="inlineStr">
        <is>
          <t>Xác minh danh bạ ứng phó sự cố; cập nhật quy trình báo cáo, ứng phó sự cố</t>
        </is>
      </c>
      <c r="B22" s="8" t="inlineStr">
        <is>
          <t>≥ 1 lần/năm</t>
        </is>
      </c>
      <c r="C22" s="8" t="inlineStr">
        <is>
          <t>≥ 1 lần/năm</t>
        </is>
      </c>
      <c r="D22" s="8" t="inlineStr">
        <is>
          <t>TCVN 3.15.2, 4.15.2</t>
        </is>
      </c>
    </row>
    <row r="23">
      <c r="A23" s="8" t="inlineStr">
        <is>
          <t>Rà soát các quy định, quy trình khác (cấu hình, tài khoản, truy cập, nhật ký, sao lưu, tài sản thông tin)</t>
        </is>
      </c>
      <c r="B23" s="8" t="inlineStr">
        <is>
          <t>≥ 1 lần/năm hoặc khi thay đổi</t>
        </is>
      </c>
      <c r="C23" s="8" t="inlineStr">
        <is>
          <t>≥ 1 lần/năm hoặc khi thay đổi</t>
        </is>
      </c>
      <c r="D23" s="8" t="inlineStr">
        <is>
          <t>TCVN mục 3, 4 (các điểm "rà soát, cập nhật")</t>
        </is>
      </c>
    </row>
    <row r="24">
      <c r="A24" s="8" t="inlineStr">
        <is>
          <t>Kiểm tra, đánh giá (tự đánh giá độc lập với đơn vị vận hành)</t>
        </is>
      </c>
      <c r="B24" s="8" t="inlineStr">
        <is>
          <t>Định kỳ theo cấp độ và rủi ro (gợi ý 1 lần/năm)</t>
        </is>
      </c>
      <c r="C24" s="8" t="inlineStr">
        <is>
          <t>Định kỳ theo cấp độ và rủi ro (gợi ý 1 lần/năm)</t>
        </is>
      </c>
      <c r="D24" s="8" t="inlineStr">
        <is>
          <t>NĐ 331 Đ28.5.a, Đ31.2.c, Đ33.3</t>
        </is>
      </c>
    </row>
    <row r="25">
      <c r="A25" s="8" t="inlineStr">
        <is>
          <t>Báo cáo năm (Mẫu 08)</t>
        </is>
      </c>
      <c r="B25" s="8" t="inlineStr">
        <is>
          <t>Nội bộ trước 20/12; gửi BCA trước 25/12</t>
        </is>
      </c>
      <c r="C25" s="8" t="inlineStr">
        <is>
          <t>Nội bộ trước 20/12; gửi BCA trước 25/12</t>
        </is>
      </c>
      <c r="D25" s="8" t="inlineStr">
        <is>
          <t>NĐ 331 Đ35.3–35.4, Đ36</t>
        </is>
      </c>
    </row>
    <row r="26">
      <c r="A26" s="8" t="inlineStr">
        <is>
          <t>Xác định lại cấp độ</t>
        </is>
      </c>
      <c r="B26" s="8" t="inlineStr">
        <is>
          <t>Khi thay đổi chức năng, phạm vi, dữ liệu, công nghệ, kết nối; sau sự cố nghiêm trọng</t>
        </is>
      </c>
      <c r="C26" s="8" t="inlineStr">
        <is>
          <t>Như cấp 1</t>
        </is>
      </c>
      <c r="D26" s="8" t="inlineStr">
        <is>
          <t>NĐ 331 Đ10.2.b–đ, Đ25</t>
        </is>
      </c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</sheetData>
  <autoFilter ref="A4:D3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9" customWidth="1" min="1" max="1"/>
    <col width="14.6" customWidth="1" min="2" max="2"/>
    <col width="16.4" customWidth="1" min="3" max="3"/>
    <col width="16.4" customWidth="1" min="4" max="4"/>
    <col width="12.8" customWidth="1" min="5" max="5"/>
    <col width="40" customWidth="1" min="6" max="6"/>
    <col width="40" customWidth="1" min="7" max="7"/>
    <col width="34.4" customWidth="1" min="8" max="8"/>
    <col width="25.4" customWidth="1" min="9" max="9"/>
    <col width="40" customWidth="1" min="10" max="10"/>
    <col width="11" customWidth="1" min="11" max="11"/>
    <col width="12.8" customWidth="1" min="12" max="12"/>
    <col width="40" customWidth="1" min="13" max="13"/>
  </cols>
  <sheetData>
    <row r="1">
      <c r="A1" s="1" t="inlineStr">
        <is>
          <t>D. SỔ THEO DÕI SỰ CỐ AN NINH MẠNG</t>
        </is>
      </c>
    </row>
    <row r="2">
      <c r="A2" s="2" t="inlineStr">
        <is>
          <t>Hàng đầu là ví dụ mô phỏng. Sự cố nghiêm trọng: thông báo ban đầu 24 giờ, báo cáo 72 giờ (NĐ 331 Đ31.2.d); vi phạm DLCN: 72 giờ (Luật 91 Đ23).</t>
        </is>
      </c>
    </row>
    <row r="4">
      <c r="A4" s="7" t="inlineStr">
        <is>
          <t>Mã sự cố</t>
        </is>
      </c>
      <c r="B4" s="7" t="inlineStr">
        <is>
          <t>HTTT</t>
        </is>
      </c>
      <c r="C4" s="7" t="inlineStr">
        <is>
          <t>T0 (phát hiện)</t>
        </is>
      </c>
      <c r="D4" s="7" t="inlineStr">
        <is>
          <t>Nhóm</t>
        </is>
      </c>
      <c r="E4" s="7" t="inlineStr">
        <is>
          <t>Mức</t>
        </is>
      </c>
      <c r="F4" s="7" t="inlineStr">
        <is>
          <t>Mô tả tóm tắt</t>
        </is>
      </c>
      <c r="G4" s="7" t="inlineStr">
        <is>
          <t>DLCN bị ảnh hưởng</t>
        </is>
      </c>
      <c r="H4" s="7" t="inlineStr">
        <is>
          <t>Báo cáo BCA (loại, thời điểm gửi)</t>
        </is>
      </c>
      <c r="I4" s="7" t="inlineStr">
        <is>
          <t>Thông báo DLCN (thời điểm)</t>
        </is>
      </c>
      <c r="J4" s="7" t="inlineStr">
        <is>
          <t>Biện pháp đã làm</t>
        </is>
      </c>
      <c r="K4" s="7" t="inlineStr">
        <is>
          <t>Ngày đóng</t>
        </is>
      </c>
      <c r="L4" s="7" t="inlineStr">
        <is>
          <t>Người xử lý</t>
        </is>
      </c>
      <c r="M4" s="7" t="inlineStr">
        <is>
          <t>Bài học, việc tiếp theo</t>
        </is>
      </c>
    </row>
    <row r="5">
      <c r="A5" s="8" t="inlineStr">
        <is>
          <t>SC-2027-001</t>
        </is>
      </c>
      <c r="B5" s="8" t="inlineStr">
        <is>
          <t>HT-02-INTRANET</t>
        </is>
      </c>
      <c r="C5" s="8" t="inlineStr">
        <is>
          <t>10/03/2027 09:15</t>
        </is>
      </c>
      <c r="D5" s="8" t="inlineStr">
        <is>
          <t>Lừa đảo, giả mạo</t>
        </is>
      </c>
      <c r="E5" s="8" t="inlineStr">
        <is>
          <t>Thông thường</t>
        </is>
      </c>
      <c r="F5" s="8" t="inlineStr">
        <is>
          <t>01 nhân viên nhập mật khẩu vào trang đăng nhập giả mạo và chấp nhận nhầm yêu cầu xác thực MFA; hộp thư bị đăng nhập từ địa chỉ 192.0.2.77</t>
        </is>
      </c>
      <c r="G5" s="8" t="inlineStr">
        <is>
          <t>Không (đã rà hộp thư, không có dữ liệu nhân sự bị chuyển ra ngoài)</t>
        </is>
      </c>
      <c r="H5" s="8" t="inlineStr">
        <is>
          <t>Báo cáo 72 giờ, gửi 12/03/2027 15:00</t>
        </is>
      </c>
      <c r="I5" s="8" t="inlineStr">
        <is>
          <t>Không thuộc diện</t>
        </is>
      </c>
      <c r="J5" s="8" t="inlineStr">
        <is>
          <t>Khóa tài khoản, thu hồi phiên đăng nhập, đổi mật khẩu, đăng ký lại MFA, chặn tên miền giả mạo trên bộ lọc</t>
        </is>
      </c>
      <c r="K5" s="8" t="inlineStr">
        <is>
          <t>11/03/2027</t>
        </is>
      </c>
      <c r="L5" s="8" t="inlineStr">
        <is>
          <t>Đỗ Văn Giang</t>
        </is>
      </c>
      <c r="M5" s="8" t="inlineStr">
        <is>
          <t>Bổ sung nhận diện thư giả mạo vào đào tạo tháng 4; chuyển MFA sang hình thức đối chiếu số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autoFilter ref="A4:M3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.6" customWidth="1" min="2" max="2"/>
    <col width="20" customWidth="1" min="3" max="3"/>
    <col width="40" customWidth="1" min="4" max="4"/>
    <col width="40" customWidth="1" min="5" max="5"/>
    <col width="22.7" customWidth="1" min="6" max="6"/>
    <col width="34.4" customWidth="1" min="7" max="7"/>
    <col width="27.2" customWidth="1" min="8" max="8"/>
  </cols>
  <sheetData>
    <row r="1">
      <c r="A1" s="1" t="inlineStr">
        <is>
          <t>E. KẾ HOẠCH KHẮC PHỤC TỒN TẠI</t>
        </is>
      </c>
    </row>
    <row r="2">
      <c r="A2" s="2" t="inlineStr">
        <is>
          <t>Hai cột cuối là nguồn cột 10–11 Mẫu 08 (báo cáo năm, NĐ 331 Đ36).</t>
        </is>
      </c>
    </row>
    <row r="4">
      <c r="A4" s="7" t="inlineStr">
        <is>
          <t>STT</t>
        </is>
      </c>
      <c r="B4" s="7" t="inlineStr">
        <is>
          <t>HTTT</t>
        </is>
      </c>
      <c r="C4" s="7" t="inlineStr">
        <is>
          <t>Mã yêu cầu (sheet B)</t>
        </is>
      </c>
      <c r="D4" s="7" t="inlineStr">
        <is>
          <t>Tồn tại, chưa đáp ứng</t>
        </is>
      </c>
      <c r="E4" s="7" t="inlineStr">
        <is>
          <t>Biện pháp khắc phục</t>
        </is>
      </c>
      <c r="F4" s="7" t="inlineStr">
        <is>
          <t>Chủ trì</t>
        </is>
      </c>
      <c r="G4" s="7" t="inlineStr">
        <is>
          <t>Hạn hoàn thành (→ Mẫu 08 cột 11)</t>
        </is>
      </c>
      <c r="H4" s="7" t="inlineStr">
        <is>
          <t>Tình trạng (→ Mẫu 08 cột 10)</t>
        </is>
      </c>
    </row>
    <row r="5">
      <c r="A5" s="8" t="inlineStr">
        <is>
          <t>1</t>
        </is>
      </c>
      <c r="B5" s="8" t="inlineStr">
        <is>
          <t>HT-03-ERP</t>
        </is>
      </c>
      <c r="C5" s="8" t="inlineStr">
        <is>
          <t>C12-11-05</t>
        </is>
      </c>
      <c r="D5" s="8" t="inlineStr">
        <is>
          <t>Bản sao lưu ERP nằm trên NAS cùng phòng máy, chưa tách biệt, chưa quản lý phiên bản</t>
        </is>
      </c>
      <c r="E5" s="8" t="inlineStr">
        <is>
          <t>Bổ sung bản sao lưu tách biệt có quản lý phiên bản (ổ lưu trữ luân phiên cất ngoài phòng máy hoặc dịch vụ lưu trữ đặt tại Việt Nam)</t>
        </is>
      </c>
      <c r="F5" s="8" t="inlineStr">
        <is>
          <t>Phòng Vận hành hệ thống</t>
        </is>
      </c>
      <c r="G5" s="8" t="inlineStr">
        <is>
          <t>31/12/2026 (theo QĐ 03/2026/QĐ-PANM)</t>
        </is>
      </c>
      <c r="H5" s="8" t="inlineStr">
        <is>
          <t>Đã hoàn thành</t>
        </is>
      </c>
    </row>
    <row r="6">
      <c r="A6" s="8" t="inlineStr">
        <is>
          <t>2</t>
        </is>
      </c>
      <c r="B6" s="8" t="inlineStr">
        <is>
          <t>HT-04-LAN</t>
        </is>
      </c>
      <c r="C6" s="8" t="inlineStr">
        <is>
          <t>C12-02-09</t>
        </is>
      </c>
      <c r="D6" s="8" t="inlineStr">
        <is>
          <t>Chưa có quy trình xóa sạch dữ liệu khi thanh lý, chuyển giao máy tính, ổ cứng</t>
        </is>
      </c>
      <c r="E6" s="8" t="inlineStr">
        <is>
          <t>Ban hành quy trình xóa dữ liệu, dùng công cụ xóa an toàn, lập biên bản cho từng lần thanh lý</t>
        </is>
      </c>
      <c r="F6" s="8" t="inlineStr">
        <is>
          <t>Phòng Vận hành hệ thống</t>
        </is>
      </c>
      <c r="G6" s="8" t="inlineStr">
        <is>
          <t>30/06/2027</t>
        </is>
      </c>
      <c r="H6" s="8" t="inlineStr">
        <is>
          <t>Chưa thực hiện</t>
        </is>
      </c>
    </row>
    <row r="7">
      <c r="A7" s="8" t="inlineStr">
        <is>
          <t>3</t>
        </is>
      </c>
      <c r="B7" s="8" t="inlineStr">
        <is>
          <t>HT-02-INTRANET</t>
        </is>
      </c>
      <c r="C7" s="8" t="inlineStr">
        <is>
          <t>C12-08-05</t>
        </is>
      </c>
      <c r="D7" s="8" t="inlineStr">
        <is>
          <t>Nhật ký Intranet chỉ lưu 7 ngày</t>
        </is>
      </c>
      <c r="E7" s="8" t="inlineStr">
        <is>
          <t>Chuyển nhật ký về máy chủ nhật ký tập trung, giữ theo thời hạn của Quy chế</t>
        </is>
      </c>
      <c r="F7" s="8" t="inlineStr">
        <is>
          <t>Phòng Vận hành hệ thống</t>
        </is>
      </c>
      <c r="G7" s="8" t="inlineStr">
        <is>
          <t>28/02/2027</t>
        </is>
      </c>
      <c r="H7" s="8" t="inlineStr">
        <is>
          <t>Đã hoàn thành</t>
        </is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</sheetData>
  <autoFilter ref="A4:H3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2026-09-28T04:15:42Z</dcterms:created>
  <dcterms:modified xmlns:dcterms="http://purl.org/dc/terms/" xmlns:xsi="http://www.w3.org/2001/XMLSchema-instance" xsi:type="dcterms:W3CDTF">2026-09-28T04:15:42Z</dcterms:modified>
</cp:coreProperties>
</file>